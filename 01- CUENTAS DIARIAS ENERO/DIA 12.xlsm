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1- CUENTAS DIARIAS ENERO\"/>
    </mc:Choice>
  </mc:AlternateContent>
  <xr:revisionPtr revIDLastSave="0" documentId="13_ncr:1_{553C355C-DBB7-4BC2-8EFB-655806A18431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M34" i="61" l="1"/>
  <c r="J33" i="61"/>
  <c r="J36" i="61"/>
  <c r="H33" i="61"/>
  <c r="H35" i="61" s="1"/>
  <c r="F33" i="61"/>
  <c r="J34" i="61"/>
  <c r="J35" i="61" s="1"/>
  <c r="I33" i="61"/>
  <c r="H34" i="61"/>
  <c r="F34" i="61"/>
  <c r="F35" i="61"/>
  <c r="E33" i="61"/>
  <c r="D35" i="61"/>
  <c r="D34" i="61"/>
  <c r="C33" i="61"/>
  <c r="D33" i="61"/>
  <c r="B2" i="7"/>
  <c r="B2" i="6"/>
  <c r="B2" i="15"/>
  <c r="B2" i="14"/>
  <c r="B2" i="16"/>
  <c r="B2" i="21"/>
  <c r="B2" i="22"/>
  <c r="I5" i="69"/>
  <c r="K12" i="69"/>
  <c r="I17" i="1"/>
  <c r="H17" i="1"/>
  <c r="J16" i="1"/>
  <c r="J15" i="1"/>
  <c r="H12" i="1"/>
  <c r="J14" i="1"/>
  <c r="J13" i="1"/>
  <c r="J11" i="1"/>
  <c r="J10" i="1"/>
  <c r="J9" i="1"/>
  <c r="J36" i="60"/>
  <c r="AMG14" i="1"/>
  <c r="AMF14" i="1"/>
  <c r="AMF16" i="1" s="1"/>
  <c r="AMH13" i="1"/>
  <c r="AMH12" i="1"/>
  <c r="AMH11" i="1"/>
  <c r="AMH10" i="1"/>
  <c r="AMH9" i="1"/>
  <c r="H17" i="60"/>
  <c r="G17" i="60"/>
  <c r="H18" i="60"/>
  <c r="G18" i="60"/>
  <c r="C10" i="62"/>
  <c r="F17" i="60"/>
  <c r="E17" i="60"/>
  <c r="F18" i="60"/>
  <c r="E18" i="60"/>
  <c r="M14" i="1"/>
  <c r="L14" i="1"/>
  <c r="L16" i="1" s="1"/>
  <c r="N13" i="1"/>
  <c r="N12" i="1"/>
  <c r="N11" i="1"/>
  <c r="N10" i="1"/>
  <c r="N9" i="1"/>
  <c r="D18" i="60"/>
  <c r="C18" i="60"/>
  <c r="C10" i="60"/>
  <c r="D17" i="60"/>
  <c r="C17" i="60"/>
  <c r="C10" i="61"/>
  <c r="C10" i="64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11" i="65"/>
  <c r="D9" i="65"/>
  <c r="D8" i="65"/>
  <c r="D7" i="65"/>
  <c r="D6" i="65"/>
  <c r="D5" i="65"/>
  <c r="F14" i="19"/>
  <c r="F10" i="19"/>
  <c r="F6" i="19"/>
  <c r="F14" i="8"/>
  <c r="F10" i="8"/>
  <c r="F6" i="8"/>
  <c r="D37" i="73"/>
  <c r="H12" i="69"/>
  <c r="H9" i="69"/>
  <c r="G33" i="61" l="1"/>
  <c r="J12" i="1"/>
  <c r="AMF17" i="1"/>
  <c r="L17" i="1"/>
  <c r="N14" i="1"/>
  <c r="AMH14" i="1"/>
  <c r="I27" i="73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1" i="71"/>
  <c r="M20" i="71"/>
  <c r="M19" i="71"/>
  <c r="M16" i="71"/>
  <c r="M15" i="71"/>
  <c r="M14" i="71"/>
  <c r="M13" i="71"/>
  <c r="M12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4" i="23"/>
  <c r="K4" i="23"/>
  <c r="J4" i="23"/>
  <c r="F26" i="19"/>
  <c r="L10" i="19" s="1"/>
  <c r="F25" i="19"/>
  <c r="F24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10" i="61"/>
  <c r="D9" i="61"/>
  <c r="D8" i="61"/>
  <c r="D7" i="61"/>
  <c r="D6" i="61"/>
  <c r="D27" i="60"/>
  <c r="D26" i="60"/>
  <c r="D25" i="60"/>
  <c r="D24" i="60"/>
  <c r="D23" i="60"/>
  <c r="D22" i="60"/>
  <c r="D21" i="60"/>
  <c r="D20" i="60"/>
  <c r="D19" i="60"/>
  <c r="D16" i="60"/>
  <c r="D15" i="60"/>
  <c r="D14" i="60"/>
  <c r="D12" i="60"/>
  <c r="D11" i="60"/>
  <c r="D9" i="60"/>
  <c r="D8" i="60"/>
  <c r="D7" i="60"/>
  <c r="F20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D10" i="64"/>
  <c r="F17" i="64"/>
  <c r="F17" i="65"/>
  <c r="F8" i="65"/>
  <c r="D6" i="60"/>
  <c r="F16" i="60"/>
  <c r="F15" i="60"/>
  <c r="F35" i="60"/>
  <c r="F12" i="60"/>
  <c r="F11" i="60"/>
  <c r="F9" i="60"/>
  <c r="F7" i="60"/>
  <c r="F6" i="60"/>
  <c r="F5" i="60"/>
  <c r="F4" i="60"/>
  <c r="H11" i="60"/>
  <c r="H9" i="60"/>
  <c r="H7" i="60"/>
  <c r="H6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2" i="61"/>
  <c r="J11" i="61"/>
  <c r="J9" i="61"/>
  <c r="J7" i="61"/>
  <c r="F15" i="61"/>
  <c r="F14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E5" i="16"/>
  <c r="H34" i="60" l="1"/>
  <c r="F34" i="60"/>
  <c r="D36" i="60"/>
  <c r="D35" i="60"/>
  <c r="E7" i="16"/>
  <c r="D34" i="60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8" i="64"/>
  <c r="F17" i="62"/>
  <c r="E11" i="16"/>
  <c r="K6" i="25"/>
  <c r="K6" i="22"/>
  <c r="F10" i="65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6" i="61"/>
  <c r="H15" i="61"/>
  <c r="H14" i="61"/>
  <c r="H13" i="61"/>
  <c r="H12" i="61"/>
  <c r="H11" i="61"/>
  <c r="E13" i="16" s="1"/>
  <c r="H35" i="60"/>
  <c r="M26" i="52"/>
  <c r="M25" i="52"/>
  <c r="M24" i="52"/>
  <c r="M23" i="52"/>
  <c r="M22" i="52"/>
  <c r="M21" i="52"/>
  <c r="M20" i="52"/>
  <c r="M6" i="52"/>
  <c r="M5" i="52"/>
  <c r="M4" i="52"/>
  <c r="J12" i="71" l="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C2" i="68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6" i="64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l="1"/>
  <c r="L5" i="23"/>
  <c r="J6" i="15"/>
  <c r="F17" i="52"/>
  <c r="F12" i="8"/>
  <c r="J5" i="19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F15" i="29"/>
  <c r="G15" i="29" s="1"/>
  <c r="F27" i="58"/>
  <c r="F11" i="29"/>
  <c r="G11" i="29" s="1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9" s="1"/>
  <c r="G7" i="20"/>
  <c r="D7" i="20"/>
  <c r="D19" i="58"/>
  <c r="F7" i="20"/>
  <c r="D27" i="52"/>
  <c r="M27" i="52" s="1"/>
  <c r="D8" i="29"/>
  <c r="G8" i="29"/>
  <c r="C27" i="58"/>
  <c r="D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23" l="1"/>
  <c r="K5" i="8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F21" i="15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D9" i="69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  <c r="J17" i="1" l="1"/>
</calcChain>
</file>

<file path=xl/sharedStrings.xml><?xml version="1.0" encoding="utf-8"?>
<sst xmlns="http://schemas.openxmlformats.org/spreadsheetml/2006/main" count="1292" uniqueCount="163">
  <si>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</si>
  <si>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</si>
  <si>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</si>
  <si>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</si>
  <si>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</si>
  <si>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</si>
  <si>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</si>
  <si>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</si>
  <si>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</si>
  <si>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</si>
  <si>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</si>
  <si>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</si>
  <si>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</si>
  <si>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</si>
  <si>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</si>
  <si>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</si>
  <si>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</si>
  <si>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</si>
  <si>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</si>
  <si>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</si>
  <si>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</si>
  <si>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</si>
  <si>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</si>
  <si>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</si>
  <si>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</si>
  <si>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</si>
  <si>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</si>
  <si>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</si>
  <si>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</si>
  <si>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</si>
  <si>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</si>
  <si>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</si>
  <si>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</si>
  <si>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</si>
  <si>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</si>
  <si>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</si>
  <si>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</si>
  <si>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</si>
  <si>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</si>
  <si>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</si>
  <si>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</si>
  <si>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</si>
  <si>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</si>
  <si>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</si>
  <si>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</si>
  <si>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</si>
  <si>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</si>
  <si>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</si>
  <si>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</si>
  <si>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</si>
  <si>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</si>
  <si>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</si>
  <si>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</si>
  <si>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</si>
  <si>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</si>
  <si>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</si>
  <si>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</si>
  <si>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</si>
  <si>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</si>
  <si>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</si>
  <si>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</si>
  <si>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</si>
  <si>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</si>
  <si>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</si>
  <si>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</si>
  <si>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</si>
  <si>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</si>
  <si>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</si>
  <si>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</si>
  <si>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</si>
  <si>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</si>
  <si>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</si>
  <si>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</si>
  <si>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</si>
  <si>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</si>
  <si>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</si>
  <si>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</si>
  <si>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</si>
  <si>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</si>
  <si>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</si>
  <si>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</si>
  <si>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</si>
  <si>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</si>
  <si>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</si>
  <si>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</si>
  <si>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</si>
  <si>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</si>
  <si>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</si>
  <si>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</si>
  <si>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</si>
  <si>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</si>
  <si>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</si>
  <si>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</si>
  <si>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</si>
  <si>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</si>
  <si>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</si>
  <si>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</si>
  <si>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</si>
  <si>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</si>
  <si>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</si>
  <si>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</si>
  <si>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</si>
  <si>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</si>
  <si>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</si>
  <si>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</si>
  <si>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</si>
  <si>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</si>
  <si>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</si>
  <si>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</si>
  <si>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</si>
  <si>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</si>
  <si>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</si>
  <si>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</si>
  <si>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</si>
  <si>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</si>
  <si>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</si>
  <si>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</si>
  <si>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</si>
  <si>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</si>
  <si>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</si>
  <si>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</si>
  <si>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</si>
  <si>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</si>
  <si>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</si>
  <si>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</si>
  <si>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</si>
  <si>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</si>
  <si>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</si>
  <si>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</si>
  <si>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</si>
  <si>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</si>
  <si>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</si>
  <si>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</si>
  <si>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</si>
  <si>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</si>
  <si>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</si>
  <si>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</si>
  <si>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</si>
  <si>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</si>
  <si>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</si>
  <si>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</si>
  <si>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</si>
  <si>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</si>
  <si>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</si>
  <si>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</si>
  <si>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</si>
  <si>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</si>
  <si>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</si>
  <si>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</si>
  <si>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</si>
  <si>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</si>
  <si>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</si>
  <si>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</si>
  <si>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</si>
  <si>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</si>
  <si>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</si>
  <si>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</si>
  <si>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</si>
  <si>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</si>
  <si>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rebajar</t>
  </si>
  <si>
    <t>Sorteo 1pm</t>
  </si>
  <si>
    <t>Sorteo 4pm</t>
  </si>
  <si>
    <t>Sorteo 7pm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</si>
</sst>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3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  <font>
      <b/>
      <sz val="11"/>
      <color rgb="FF000000"/>
      <name val="Abadi"/>
      <family val="2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4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</cellStyleXfs>
  <cellXfs count="292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10" fontId="1" fillId="2" borderId="0" xfId="3" applyNumberFormat="1" applyFont="1" applyFill="1"/>
    <xf numFmtId="10" fontId="0" fillId="0" borderId="0" xfId="3" applyNumberFormat="1" applyFont="1"/>
    <xf numFmtId="0" fontId="22" fillId="2" borderId="0" xfId="0" applyFont="1" applyFill="1" applyAlignment="1">
      <alignment horizontal="center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4">
    <cellStyle name="Hipervínculo" xfId="1" builtinId="8"/>
    <cellStyle name="Millares" xfId="2" builtinId="3"/>
    <cellStyle name="Normal" xfId="0" builtinId="0"/>
    <cellStyle name="Porcentaje" xfId="3" builtinId="5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N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5" width="9.1796875" style="1"/>
    <col min="16" max="21" width="11.54296875" style="1" hidden="1" customWidth="1"/>
    <col min="22" max="1019" width="9.1796875" style="1" hidden="1"/>
  </cols>
  <sheetData>
    <row r="1" spans="1:1028" ht="15" thickBot="1" x14ac:dyDescent="0.4">
      <c r="AMF1" s="216"/>
      <c r="AMG1" s="216"/>
      <c r="AMH1" s="216"/>
      <c r="AMI1" s="216"/>
      <c r="AMJ1" s="216"/>
      <c r="AMK1" s="216"/>
      <c r="AML1" s="216"/>
      <c r="AMM1" s="216"/>
      <c r="AMN1" s="216"/>
    </row>
    <row r="2" spans="1:1028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F2" s="217"/>
      <c r="AMG2" s="217"/>
      <c r="AMH2" s="217"/>
      <c r="AMI2" s="217"/>
      <c r="AMJ2" s="217"/>
      <c r="AMK2" s="217"/>
      <c r="AML2" s="217"/>
      <c r="AMM2" s="217"/>
      <c r="AMN2" s="217"/>
    </row>
    <row r="3" spans="1:1028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234700</v>
      </c>
      <c r="C3" s="9">
        <f>+HojaTICA!K4+HojaNICA!M4+HojaREVENTADO!K4+HojaPrimera!I4+HojaHonduras!K4+HojaDominicana!I4+HojaPANA!G4</f>
        <v>30550</v>
      </c>
      <c r="D3" s="9">
        <f>+HojaTICA!N4+HojaNICA!P4+HojaREVENTADO!O4+HojaPrimera!L4+HojaHonduras!N4+HojaDominicana!L4+HojaPANA!J4</f>
        <v>218750</v>
      </c>
      <c r="F3" s="10">
        <f t="shared" ref="F3:F27" si="0">+B3-C3-D3</f>
        <v>-14600</v>
      </c>
      <c r="AMF3" s="216"/>
      <c r="AMG3" s="216"/>
      <c r="AMH3" s="216"/>
      <c r="AMI3" s="216"/>
      <c r="AMJ3" s="216"/>
      <c r="AMK3" s="216"/>
      <c r="AML3" s="216"/>
      <c r="AMM3" s="216"/>
      <c r="AMN3" s="216"/>
    </row>
    <row r="4" spans="1:1028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181400</v>
      </c>
      <c r="C4" s="9">
        <f>+HojaTICA!K5+HojaNICA!M5+HojaREVENTADO!K5+HojaPrimera!I5+HojaHonduras!K5+HojaDominicana!I5+HojaPANA!G5</f>
        <v>23600</v>
      </c>
      <c r="D4" s="9">
        <f>+HojaTICA!N5+HojaNICA!P5+HojaREVENTADO!O5+HojaPrimera!L5+HojaHonduras!N5+HojaDominicana!L5+HojaPANA!J5</f>
        <v>404500</v>
      </c>
      <c r="F4" s="14">
        <f t="shared" si="0"/>
        <v>-246700</v>
      </c>
      <c r="AMF4" s="216"/>
      <c r="AMG4" s="216"/>
      <c r="AMH4" s="216"/>
      <c r="AMI4" s="216"/>
      <c r="AMJ4" s="216"/>
      <c r="AMK4" s="216"/>
      <c r="AML4" s="216"/>
      <c r="AMM4" s="216"/>
      <c r="AMN4" s="216"/>
    </row>
    <row r="5" spans="1:1028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F5" s="216"/>
      <c r="AMG5" s="216"/>
      <c r="AMH5" s="216"/>
      <c r="AMI5" s="216"/>
      <c r="AMJ5" s="216"/>
      <c r="AMK5" s="216"/>
      <c r="AML5" s="216"/>
      <c r="AMM5" s="216"/>
      <c r="AMN5" s="216"/>
    </row>
    <row r="6" spans="1:1028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F6" s="216"/>
      <c r="AMG6" s="216"/>
      <c r="AMH6" s="216"/>
      <c r="AMI6" s="216"/>
      <c r="AMJ6" s="216"/>
      <c r="AMK6" s="216"/>
      <c r="AML6" s="216"/>
      <c r="AMM6" s="216"/>
      <c r="AMN6" s="216"/>
    </row>
    <row r="7" spans="1:1028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407950</v>
      </c>
      <c r="C7" s="9">
        <f>+HojaTICA!K8+HojaNICA!M8+HojaREVENTADO!K8+HojaPrimera!I8+HojaHonduras!K8+HojaDominicana!I8+HojaPANA!G8</f>
        <v>48950</v>
      </c>
      <c r="D7" s="9">
        <f>+HojaTICA!N8+HojaNICA!P8+HojaREVENTADO!O8+HojaPrimera!L8+HojaHonduras!N8+HojaDominicana!L8+HojaPANA!J8</f>
        <v>387500</v>
      </c>
      <c r="F7" s="14">
        <f t="shared" si="0"/>
        <v>-28500</v>
      </c>
      <c r="AMF7" s="216"/>
      <c r="AMG7" s="216"/>
      <c r="AMH7" s="216"/>
      <c r="AMI7" s="216"/>
      <c r="AMJ7" s="216"/>
      <c r="AMK7" s="216"/>
      <c r="AML7" s="216"/>
      <c r="AMM7" s="216"/>
      <c r="AMN7" s="216"/>
    </row>
    <row r="8" spans="1:1028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H8" s="261" t="s">
        <v>160</v>
      </c>
      <c r="I8" s="261"/>
      <c r="J8" s="261"/>
      <c r="L8" s="261" t="s">
        <v>161</v>
      </c>
      <c r="M8" s="261"/>
      <c r="N8" s="261"/>
      <c r="AMF8" s="261" t="s">
        <v>162</v>
      </c>
      <c r="AMG8" s="261"/>
      <c r="AMH8" s="261"/>
      <c r="AMI8" s="216"/>
      <c r="AMJ8" s="216"/>
      <c r="AMK8" s="216"/>
      <c r="AML8" s="216"/>
      <c r="AMM8" s="216"/>
      <c r="AMN8" s="216"/>
    </row>
    <row r="9" spans="1:1028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1131000</v>
      </c>
      <c r="C9" s="9">
        <f>+HojaTICA!K10+HojaNICA!M10+HojaREVENTADO!K10+HojaPrimera!I10+HojaHonduras!K10+HojaDominicana!I10+HojaPANA!G10</f>
        <v>134280</v>
      </c>
      <c r="D9" s="9">
        <f>+HojaTICA!N10+HojaNICA!P10+HojaREVENTADO!O10+HojaPrimera!L10+HojaHonduras!N10+HojaDominicana!L10+HojaPANA!J10</f>
        <v>1202750</v>
      </c>
      <c r="F9" s="14">
        <f t="shared" si="0"/>
        <v>-206030</v>
      </c>
      <c r="H9" s="1">
        <v>212000</v>
      </c>
      <c r="I9" s="1">
        <v>15650</v>
      </c>
      <c r="J9" s="259">
        <f>+I9/H9</f>
        <v>7.382075471698113E-2</v>
      </c>
      <c r="L9" s="1">
        <v>19350</v>
      </c>
      <c r="M9" s="1">
        <v>350</v>
      </c>
      <c r="N9" s="259">
        <f>+M9/L9</f>
        <v>1.8087855297157621E-2</v>
      </c>
      <c r="AMF9" s="216">
        <v>13900</v>
      </c>
      <c r="AMG9" s="216">
        <v>350</v>
      </c>
      <c r="AMH9" s="259">
        <f t="shared" ref="AMH9:AMH14" si="1">+AMG9/AMF9</f>
        <v>2.5179856115107913E-2</v>
      </c>
      <c r="AMI9" s="216"/>
      <c r="AMJ9" s="216"/>
      <c r="AMK9" s="216"/>
      <c r="AML9" s="216"/>
      <c r="AMM9" s="216"/>
      <c r="AMN9" s="216"/>
    </row>
    <row r="10" spans="1:1028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12800</v>
      </c>
      <c r="C10" s="9">
        <f>+HojaTICA!K11+HojaNICA!M11+HojaREVENTADO!K11+HojaPrimera!I11+HojaHonduras!K11+HojaDominicana!I11+HojaPANA!G11</f>
        <v>1550</v>
      </c>
      <c r="D10" s="9">
        <f>+HojaTICA!N11+HojaNICA!P11+HojaREVENTADO!O11+HojaPrimera!L11+HojaHonduras!N11+HojaDominicana!L11+HojaPANA!J11</f>
        <v>0</v>
      </c>
      <c r="F10" s="14">
        <f t="shared" si="0"/>
        <v>11250</v>
      </c>
      <c r="H10" s="1">
        <v>15800</v>
      </c>
      <c r="I10" s="1">
        <v>500</v>
      </c>
      <c r="J10" s="259">
        <f t="shared" ref="J10:J13" si="2">+I10/H10</f>
        <v>3.1645569620253167E-2</v>
      </c>
      <c r="L10" s="1">
        <v>144450</v>
      </c>
      <c r="M10" s="1">
        <v>3200</v>
      </c>
      <c r="N10" s="259">
        <f t="shared" ref="N10:N14" si="3">+M10/L10</f>
        <v>2.215299411561094E-2</v>
      </c>
      <c r="AMF10" s="216">
        <v>144300</v>
      </c>
      <c r="AMG10" s="216">
        <v>3650</v>
      </c>
      <c r="AMH10" s="259">
        <f t="shared" si="1"/>
        <v>2.5294525294525295E-2</v>
      </c>
      <c r="AMI10" s="216"/>
      <c r="AMJ10" s="216"/>
      <c r="AMK10" s="216"/>
      <c r="AML10" s="216"/>
      <c r="AMM10" s="216"/>
      <c r="AMN10" s="216"/>
    </row>
    <row r="11" spans="1:1028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142100</v>
      </c>
      <c r="C11" s="9">
        <f>+HojaTICA!K12+HojaNICA!M12+HojaREVENTADO!K12+HojaPrimera!I12+HojaHonduras!K12+HojaDominicana!I12+HojaPANA!G12</f>
        <v>16980</v>
      </c>
      <c r="D11" s="9">
        <f>+HojaTICA!N12+HojaNICA!P12+HojaREVENTADO!O12+HojaPrimera!L12+HojaHonduras!N12+HojaDominicana!L12+HojaPANA!J12</f>
        <v>102000</v>
      </c>
      <c r="F11" s="14">
        <f t="shared" si="0"/>
        <v>23120</v>
      </c>
      <c r="H11" s="1">
        <v>34750</v>
      </c>
      <c r="I11" s="1">
        <v>1550</v>
      </c>
      <c r="J11" s="259">
        <f t="shared" si="2"/>
        <v>4.4604316546762592E-2</v>
      </c>
      <c r="L11" s="1">
        <v>193550</v>
      </c>
      <c r="M11" s="1">
        <v>9200</v>
      </c>
      <c r="N11" s="259">
        <f t="shared" si="3"/>
        <v>4.7532937225523118E-2</v>
      </c>
      <c r="AMF11" s="216">
        <v>364900</v>
      </c>
      <c r="AMG11" s="216">
        <v>11150</v>
      </c>
      <c r="AMH11" s="259">
        <f t="shared" si="1"/>
        <v>3.0556316799123049E-2</v>
      </c>
      <c r="AMI11" s="216"/>
      <c r="AMJ11" s="216"/>
      <c r="AMK11" s="216"/>
      <c r="AML11" s="216"/>
      <c r="AMM11" s="216"/>
      <c r="AMN11" s="216"/>
    </row>
    <row r="12" spans="1:1028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118450</v>
      </c>
      <c r="C12" s="9">
        <f>+HojaTICA!K13+HojaNICA!M13+HojaREVENTADO!K13+HojaPrimera!I13+HojaHonduras!K13+HojaDominicana!I13+HojaPANA!G13</f>
        <v>14250</v>
      </c>
      <c r="D12" s="9">
        <f>+HojaTICA!N13+HojaNICA!P13+HojaREVENTADO!O13+HojaPrimera!L13+HojaHonduras!N13+HojaDominicana!L13+HojaPANA!J13</f>
        <v>394750</v>
      </c>
      <c r="F12" s="14">
        <f t="shared" si="0"/>
        <v>-290550</v>
      </c>
      <c r="H12" s="1">
        <f>37450</f>
        <v>37450</v>
      </c>
      <c r="I12" s="1">
        <v>1500</v>
      </c>
      <c r="J12" s="259">
        <f t="shared" si="2"/>
        <v>4.0053404539385849E-2</v>
      </c>
      <c r="L12" s="1">
        <v>151100</v>
      </c>
      <c r="M12" s="1">
        <v>7350</v>
      </c>
      <c r="N12" s="259">
        <f t="shared" si="3"/>
        <v>4.8643282594308404E-2</v>
      </c>
      <c r="AMF12" s="216">
        <v>235400</v>
      </c>
      <c r="AMG12" s="216">
        <v>7600</v>
      </c>
      <c r="AMH12" s="259">
        <f t="shared" si="1"/>
        <v>3.2285471537807989E-2</v>
      </c>
      <c r="AMI12" s="216"/>
      <c r="AMJ12" s="216"/>
      <c r="AMK12" s="216"/>
      <c r="AML12" s="216"/>
      <c r="AMM12" s="216"/>
      <c r="AMN12" s="216"/>
    </row>
    <row r="13" spans="1:1028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117450</v>
      </c>
      <c r="C13" s="9">
        <f>+HojaTICA!K14+HojaNICA!M14+HojaREVENTADO!K14+HojaPrimera!I14+HojaHonduras!K14+HojaDominicana!I14+HojaPANA!G14</f>
        <v>17600</v>
      </c>
      <c r="D13" s="9">
        <f>+HojaTICA!N14+HojaNICA!P14+HojaREVENTADO!O14+HojaPrimera!L14+HojaHonduras!N14+HojaDominicana!L14+HojaPANA!J14</f>
        <v>160000</v>
      </c>
      <c r="F13" s="14">
        <f t="shared" si="0"/>
        <v>-60150</v>
      </c>
      <c r="H13" s="1">
        <v>101900</v>
      </c>
      <c r="I13" s="1">
        <v>3000</v>
      </c>
      <c r="J13" s="259">
        <f t="shared" si="2"/>
        <v>2.9440628066732092E-2</v>
      </c>
      <c r="L13" s="1">
        <v>21550</v>
      </c>
      <c r="M13" s="1">
        <v>2300</v>
      </c>
      <c r="N13" s="259">
        <f t="shared" si="3"/>
        <v>0.10672853828306264</v>
      </c>
      <c r="AMF13" s="216">
        <v>33700</v>
      </c>
      <c r="AMG13" s="216">
        <v>2450</v>
      </c>
      <c r="AMH13" s="259">
        <f t="shared" si="1"/>
        <v>7.2700296735905043E-2</v>
      </c>
      <c r="AMI13" s="216"/>
      <c r="AMJ13" s="216"/>
      <c r="AMK13" s="216"/>
      <c r="AML13" s="216"/>
      <c r="AMM13" s="216"/>
      <c r="AMN13" s="216"/>
    </row>
    <row r="14" spans="1:1028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101650</v>
      </c>
      <c r="C14" s="9">
        <f>+HojaTICA!K15+HojaNICA!M15+HojaREVENTADO!K15+HojaPrimera!I15+HojaHonduras!K15+HojaDominicana!I15+HojaPANA!G15</f>
        <v>11350</v>
      </c>
      <c r="D14" s="9">
        <f>+HojaTICA!N15+HojaNICA!P15+HojaREVENTADO!O15+HojaPrimera!L15+HojaHonduras!N15+HojaDominicana!L15+HojaPANA!J15</f>
        <v>289000</v>
      </c>
      <c r="F14" s="14">
        <f t="shared" si="0"/>
        <v>-198700</v>
      </c>
      <c r="H14" s="1">
        <v>155600</v>
      </c>
      <c r="I14" s="1">
        <v>11100</v>
      </c>
      <c r="J14" s="259">
        <f t="shared" ref="J14:J16" si="4">+I14/H14</f>
        <v>7.1336760925449869E-2</v>
      </c>
      <c r="L14" s="1">
        <f>SUM(L9:L13)</f>
        <v>530000</v>
      </c>
      <c r="M14" s="1">
        <f>SUM(M9:M13)</f>
        <v>22400</v>
      </c>
      <c r="N14" s="259">
        <f t="shared" si="3"/>
        <v>4.226415094339623E-2</v>
      </c>
      <c r="AMF14" s="216">
        <f>SUM(AMF9:AMF13)</f>
        <v>792200</v>
      </c>
      <c r="AMG14" s="216">
        <f>SUM(AMG9:AMG13)</f>
        <v>25200</v>
      </c>
      <c r="AMH14" s="259">
        <f t="shared" si="1"/>
        <v>3.1810148952284775E-2</v>
      </c>
      <c r="AMI14" s="216"/>
      <c r="AMJ14" s="216"/>
      <c r="AMK14" s="216"/>
      <c r="AML14" s="216"/>
      <c r="AMM14" s="216"/>
      <c r="AMN14" s="216"/>
    </row>
    <row r="15" spans="1:1028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131900</v>
      </c>
      <c r="C15" s="9">
        <f>+HojaTICA!K16+HojaNICA!M16+HojaREVENTADO!K16+HojaPrimera!I16+HojaHonduras!K16+HojaDominicana!I16+HojaPANA!G16</f>
        <v>15850</v>
      </c>
      <c r="D15" s="9">
        <f>+HojaTICA!N16+HojaNICA!P16+HojaREVENTADO!O16+HojaPrimera!L16+HojaHonduras!N16+HojaDominicana!L16+HojaPANA!J16</f>
        <v>157250</v>
      </c>
      <c r="F15" s="14">
        <f t="shared" si="0"/>
        <v>-41200</v>
      </c>
      <c r="H15" s="1">
        <v>26050</v>
      </c>
      <c r="I15" s="1">
        <v>600</v>
      </c>
      <c r="J15" s="1">
        <f t="shared" si="4"/>
        <v>2.3032629558541268E-2</v>
      </c>
      <c r="AMF15" s="216"/>
      <c r="AMG15" s="216"/>
      <c r="AMH15" s="216"/>
      <c r="AMI15" s="216"/>
      <c r="AMJ15" s="216"/>
      <c r="AMK15" s="216"/>
      <c r="AML15" s="216"/>
      <c r="AMM15" s="216"/>
      <c r="AMN15" s="216"/>
    </row>
    <row r="16" spans="1:1028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1262650</v>
      </c>
      <c r="C16" s="9">
        <f>+HojaTICA!K17+HojaNICA!M17+HojaREVENTADO!K17+HojaPrimera!I17+HojaHonduras!K17+HojaDominicana!I17+HojaPANA!G17</f>
        <v>150335</v>
      </c>
      <c r="D16" s="9">
        <f>+HojaTICA!N17+HojaNICA!P17+HojaREVENTADO!O17+HojaPrimera!L17+HojaHonduras!N17+HojaDominicana!L17+HojaPANA!J17</f>
        <v>1105000</v>
      </c>
      <c r="F16" s="14">
        <f t="shared" si="0"/>
        <v>7315</v>
      </c>
      <c r="H16" s="1">
        <v>23250</v>
      </c>
      <c r="I16" s="1">
        <v>700</v>
      </c>
      <c r="J16" s="1">
        <f t="shared" si="4"/>
        <v>3.0107526881720432E-2</v>
      </c>
      <c r="L16" s="1">
        <f>+L14*3%</f>
        <v>15900</v>
      </c>
      <c r="AMF16" s="1">
        <f>+AMF14*3%</f>
        <v>23766</v>
      </c>
      <c r="AMG16" s="216"/>
      <c r="AMH16" s="216"/>
      <c r="AMI16" s="216"/>
      <c r="AMJ16" s="216"/>
      <c r="AMK16" s="216"/>
      <c r="AML16" s="216"/>
      <c r="AMM16" s="216"/>
      <c r="AMN16" s="216"/>
    </row>
    <row r="17" spans="1:1028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453550</v>
      </c>
      <c r="C17" s="9">
        <f>+HojaTICA!K18+HojaNICA!M18+HojaREVENTADO!K18+HojaPrimera!I18+HojaHonduras!K18+HojaDominicana!I18+HojaPANA!G18</f>
        <v>53565</v>
      </c>
      <c r="D17" s="9">
        <f>+HojaTICA!N18+HojaNICA!P18+HojaREVENTADO!O18+HojaPrimera!L18+HojaHonduras!N18+HojaDominicana!L18+HojaPANA!J18</f>
        <v>875500</v>
      </c>
      <c r="F17" s="14">
        <f t="shared" si="0"/>
        <v>-475515</v>
      </c>
      <c r="H17" s="1">
        <f>SUM(H9:H16)</f>
        <v>606800</v>
      </c>
      <c r="I17" s="1">
        <f>SUM(I9:I16)</f>
        <v>34600</v>
      </c>
      <c r="J17" s="259">
        <f>+I17/H17</f>
        <v>5.7020435069215558E-2</v>
      </c>
      <c r="L17" s="1">
        <f>+M14-L16</f>
        <v>6500</v>
      </c>
      <c r="M17" s="1" t="s">
        <v>159</v>
      </c>
      <c r="AMF17" s="1">
        <f>+AMG14-AMF16</f>
        <v>1434</v>
      </c>
      <c r="AMG17" s="1" t="s">
        <v>159</v>
      </c>
      <c r="AMH17" s="216"/>
      <c r="AMI17" s="216"/>
      <c r="AMJ17" s="216"/>
      <c r="AMK17" s="216"/>
      <c r="AML17" s="216"/>
      <c r="AMM17" s="216"/>
      <c r="AMN17" s="216"/>
    </row>
    <row r="18" spans="1:1028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F18" s="216"/>
      <c r="AMG18" s="216"/>
      <c r="AMH18" s="216"/>
      <c r="AMI18" s="216"/>
      <c r="AMJ18" s="216"/>
      <c r="AMK18" s="216"/>
      <c r="AML18" s="216"/>
      <c r="AMM18" s="216"/>
      <c r="AMN18" s="216"/>
    </row>
    <row r="19" spans="1:1028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F19" s="216"/>
      <c r="AMG19" s="216"/>
      <c r="AMH19" s="216"/>
      <c r="AMI19" s="216"/>
      <c r="AMJ19" s="216"/>
      <c r="AMK19" s="216"/>
      <c r="AML19" s="216"/>
      <c r="AMM19" s="216"/>
      <c r="AMN19" s="216"/>
    </row>
    <row r="20" spans="1:1028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F20" s="216"/>
      <c r="AMG20" s="216"/>
      <c r="AMH20" s="216"/>
      <c r="AMI20" s="216"/>
      <c r="AMJ20" s="216"/>
      <c r="AMK20" s="216"/>
      <c r="AML20" s="216"/>
      <c r="AMM20" s="216"/>
      <c r="AMN20" s="216"/>
    </row>
    <row r="21" spans="1:1028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F21" s="216"/>
      <c r="AMG21" s="216"/>
      <c r="AMH21" s="216"/>
      <c r="AMI21" s="216"/>
      <c r="AMJ21" s="216"/>
      <c r="AMK21" s="216"/>
      <c r="AML21" s="216"/>
      <c r="AMM21" s="216"/>
      <c r="AMN21" s="216"/>
    </row>
    <row r="22" spans="1:1028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F22" s="216"/>
      <c r="AMG22" s="216"/>
      <c r="AMH22" s="216"/>
      <c r="AMI22" s="216"/>
      <c r="AMJ22" s="216"/>
      <c r="AMK22" s="216"/>
      <c r="AML22" s="216"/>
      <c r="AMM22" s="216"/>
      <c r="AMN22" s="216"/>
    </row>
    <row r="23" spans="1:1028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F23" s="216"/>
      <c r="AMG23" s="216"/>
      <c r="AMH23" s="216"/>
      <c r="AMI23" s="216"/>
      <c r="AMJ23" s="216"/>
      <c r="AMK23" s="216"/>
      <c r="AML23" s="216"/>
      <c r="AMM23" s="216"/>
      <c r="AMN23" s="216"/>
    </row>
    <row r="24" spans="1:1028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F24" s="216"/>
      <c r="AMG24" s="216"/>
      <c r="AMH24" s="216"/>
      <c r="AMI24" s="216"/>
      <c r="AMJ24" s="216"/>
      <c r="AMK24" s="216"/>
      <c r="AML24" s="216"/>
      <c r="AMM24" s="216"/>
      <c r="AMN24" s="216"/>
    </row>
    <row r="25" spans="1:1028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F25" s="216"/>
      <c r="AMG25" s="216"/>
      <c r="AMH25" s="216"/>
      <c r="AMI25" s="216"/>
      <c r="AMJ25" s="216"/>
      <c r="AMK25" s="216"/>
      <c r="AML25" s="216"/>
      <c r="AMM25" s="216"/>
      <c r="AMN25" s="216"/>
    </row>
    <row r="26" spans="1:1028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-24330</v>
      </c>
      <c r="C26" s="9">
        <f>+HojaTICA!K27+HojaNICA!M27+HojaREVENTADO!K27+HojaPrimera!I27+HojaHonduras!K27+HojaDominicana!I27+HojaPANA!G27</f>
        <v>-2900</v>
      </c>
      <c r="D26" s="9">
        <f>+HojaTICA!N27+HojaNICA!P27+HojaREVENTADO!O27+HojaPrimera!L27+HojaHonduras!N27+HojaDominicana!L27+HojaPANA!J27</f>
        <v>0</v>
      </c>
      <c r="F26" s="14">
        <f t="shared" si="0"/>
        <v>-21430</v>
      </c>
      <c r="AMF26" s="216"/>
      <c r="AMG26" s="216"/>
      <c r="AMH26" s="216"/>
      <c r="AMI26" s="216"/>
      <c r="AMJ26" s="216"/>
      <c r="AMK26" s="216"/>
      <c r="AML26" s="216"/>
      <c r="AMM26" s="216"/>
      <c r="AMN26" s="216"/>
    </row>
    <row r="27" spans="1:1028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F27" s="216"/>
      <c r="AMG27" s="216"/>
      <c r="AMH27" s="216"/>
      <c r="AMI27" s="216"/>
      <c r="AMJ27" s="216"/>
      <c r="AMK27" s="216"/>
      <c r="AML27" s="216"/>
      <c r="AMM27" s="216"/>
      <c r="AMN27" s="216"/>
    </row>
    <row r="28" spans="1:1028" ht="16.5" customHeight="1" thickBot="1" x14ac:dyDescent="0.4">
      <c r="A28" s="16" t="s">
        <v>5</v>
      </c>
      <c r="B28" s="19">
        <f t="shared" ref="B28:D28" si="5">SUM(B3:B27)</f>
        <v>4271270</v>
      </c>
      <c r="C28" s="17">
        <f t="shared" si="5"/>
        <v>515960</v>
      </c>
      <c r="D28" s="18">
        <f t="shared" si="5"/>
        <v>5297000</v>
      </c>
      <c r="F28" s="20">
        <f>SUM(F3:F27)</f>
        <v>-1541690</v>
      </c>
      <c r="AMF28" s="216"/>
      <c r="AMG28" s="216"/>
      <c r="AMH28" s="216"/>
      <c r="AMI28" s="216"/>
      <c r="AMJ28" s="216"/>
      <c r="AMK28" s="216"/>
      <c r="AML28" s="216"/>
      <c r="AMM28" s="216"/>
      <c r="AMN28" s="216"/>
    </row>
    <row r="29" spans="1:1028" x14ac:dyDescent="0.35">
      <c r="AMF29" s="216"/>
      <c r="AMG29" s="216"/>
      <c r="AMH29" s="216"/>
      <c r="AMI29" s="216"/>
      <c r="AMJ29" s="216"/>
      <c r="AMK29" s="216"/>
      <c r="AML29" s="216"/>
      <c r="AMM29" s="216"/>
      <c r="AMN29" s="216"/>
    </row>
    <row r="30" spans="1:1028" x14ac:dyDescent="0.35">
      <c r="AMF30" s="216"/>
      <c r="AMG30" s="216"/>
      <c r="AMH30" s="216"/>
      <c r="AMI30" s="216"/>
      <c r="AMJ30" s="216"/>
      <c r="AMK30" s="216"/>
      <c r="AML30" s="216"/>
      <c r="AMM30" s="216"/>
      <c r="AMN30" s="216"/>
    </row>
    <row r="31" spans="1:1028" x14ac:dyDescent="0.35">
      <c r="AMF31" s="216"/>
      <c r="AMG31" s="216"/>
      <c r="AMH31" s="216"/>
      <c r="AMI31" s="216"/>
      <c r="AMJ31" s="216"/>
      <c r="AMK31" s="216"/>
      <c r="AML31" s="216"/>
      <c r="AMM31" s="216"/>
      <c r="AMN31" s="216"/>
    </row>
    <row r="32" spans="1:1028" ht="18" x14ac:dyDescent="0.4">
      <c r="B32" s="98"/>
      <c r="C32" s="98"/>
      <c r="D32" s="98"/>
      <c r="E32" s="98"/>
      <c r="F32" s="97"/>
      <c r="AMF32" s="216"/>
      <c r="AMG32" s="216"/>
      <c r="AMH32" s="216"/>
      <c r="AMI32" s="216"/>
      <c r="AMJ32" s="216"/>
      <c r="AMK32" s="216"/>
      <c r="AML32" s="216"/>
      <c r="AMM32" s="216"/>
      <c r="AMN32" s="216"/>
    </row>
    <row r="33" spans="1020:1028" x14ac:dyDescent="0.35">
      <c r="AMF33" s="216"/>
      <c r="AMG33" s="216"/>
      <c r="AMH33" s="216"/>
      <c r="AMI33" s="216"/>
      <c r="AMJ33" s="216"/>
      <c r="AMK33" s="216"/>
      <c r="AML33" s="216"/>
      <c r="AMM33" s="216"/>
      <c r="AMN33" s="216"/>
    </row>
    <row r="34" spans="1020:1028" x14ac:dyDescent="0.35">
      <c r="AMF34" s="216"/>
      <c r="AMG34" s="216"/>
      <c r="AMH34" s="216"/>
      <c r="AMI34" s="216"/>
      <c r="AMJ34" s="216"/>
      <c r="AMK34" s="216"/>
      <c r="AML34" s="216"/>
      <c r="AMM34" s="216"/>
      <c r="AMN34" s="216"/>
    </row>
    <row r="35" spans="1020:1028" x14ac:dyDescent="0.35">
      <c r="AMF35" s="216"/>
      <c r="AMG35" s="216"/>
      <c r="AMH35" s="216"/>
      <c r="AMI35" s="216"/>
      <c r="AMJ35" s="216"/>
      <c r="AMK35" s="216"/>
      <c r="AML35" s="216"/>
      <c r="AMM35" s="216"/>
      <c r="AMN35" s="216"/>
    </row>
    <row r="36" spans="1020:1028" x14ac:dyDescent="0.35">
      <c r="AMF36" s="216"/>
      <c r="AMG36" s="216"/>
      <c r="AMH36" s="216"/>
      <c r="AMI36" s="216"/>
      <c r="AMJ36" s="216"/>
      <c r="AMK36" s="216"/>
      <c r="AML36" s="216"/>
      <c r="AMM36" s="216"/>
      <c r="AMN36" s="216"/>
    </row>
    <row r="37" spans="1020:1028" x14ac:dyDescent="0.35">
      <c r="AMF37" s="216"/>
      <c r="AMG37" s="216"/>
      <c r="AMH37" s="216"/>
      <c r="AMI37" s="216"/>
      <c r="AMJ37" s="216"/>
      <c r="AMK37" s="216"/>
      <c r="AML37" s="216"/>
      <c r="AMM37" s="216"/>
      <c r="AMN37" s="216"/>
    </row>
    <row r="38" spans="1020:1028" x14ac:dyDescent="0.35">
      <c r="AMF38" s="216"/>
      <c r="AMG38" s="216"/>
      <c r="AMH38" s="216"/>
      <c r="AMI38" s="216"/>
      <c r="AMJ38" s="216"/>
      <c r="AMK38" s="216"/>
      <c r="AML38" s="216"/>
      <c r="AMM38" s="216"/>
      <c r="AMN38" s="216"/>
    </row>
    <row r="39" spans="1020:1028" x14ac:dyDescent="0.35">
      <c r="AMF39" s="216"/>
      <c r="AMG39" s="216"/>
      <c r="AMH39" s="216"/>
      <c r="AMI39" s="216"/>
      <c r="AMJ39" s="216"/>
      <c r="AMK39" s="216"/>
      <c r="AML39" s="216"/>
      <c r="AMM39" s="216"/>
      <c r="AMN39" s="216"/>
    </row>
    <row r="40" spans="1020:1028" x14ac:dyDescent="0.35">
      <c r="AMF40" s="216"/>
      <c r="AMG40" s="216"/>
      <c r="AMH40" s="216"/>
      <c r="AMI40" s="216"/>
      <c r="AMJ40" s="216"/>
      <c r="AMK40" s="216"/>
      <c r="AML40" s="216"/>
      <c r="AMM40" s="216"/>
      <c r="AMN40" s="216"/>
    </row>
    <row r="41" spans="1020:1028" x14ac:dyDescent="0.35">
      <c r="AMF41" s="216"/>
      <c r="AMG41" s="216"/>
      <c r="AMH41" s="216"/>
      <c r="AMI41" s="216"/>
      <c r="AMJ41" s="216"/>
      <c r="AMK41" s="216"/>
      <c r="AML41" s="216"/>
      <c r="AMM41" s="216"/>
      <c r="AMN41" s="216"/>
    </row>
    <row r="42" spans="1020:1028" x14ac:dyDescent="0.35">
      <c r="AMF42" s="216"/>
      <c r="AMG42" s="216"/>
      <c r="AMH42" s="216"/>
      <c r="AMI42" s="216"/>
      <c r="AMJ42" s="216"/>
      <c r="AMK42" s="216"/>
      <c r="AML42" s="216"/>
      <c r="AMM42" s="216"/>
      <c r="AMN42" s="216"/>
    </row>
    <row r="43" spans="1020:1028" x14ac:dyDescent="0.35">
      <c r="AMF43" s="216"/>
      <c r="AMG43" s="216"/>
      <c r="AMH43" s="216"/>
      <c r="AMI43" s="216"/>
      <c r="AMJ43" s="216"/>
      <c r="AMK43" s="216"/>
      <c r="AML43" s="216"/>
      <c r="AMM43" s="216"/>
      <c r="AMN43" s="216"/>
    </row>
    <row r="44" spans="1020:1028" x14ac:dyDescent="0.35">
      <c r="AMF44" s="216"/>
      <c r="AMG44" s="216"/>
      <c r="AMH44" s="216"/>
      <c r="AMI44" s="216"/>
      <c r="AMJ44" s="216"/>
      <c r="AMK44" s="216"/>
      <c r="AML44" s="216"/>
      <c r="AMM44" s="216"/>
      <c r="AMN44" s="216"/>
    </row>
    <row r="45" spans="1020:1028" x14ac:dyDescent="0.35">
      <c r="AMF45" s="216"/>
      <c r="AMG45" s="216"/>
      <c r="AMH45" s="216"/>
      <c r="AMI45" s="216"/>
      <c r="AMJ45" s="216"/>
      <c r="AMK45" s="216"/>
      <c r="AML45" s="216"/>
      <c r="AMM45" s="216"/>
      <c r="AMN45" s="216"/>
    </row>
    <row r="46" spans="1020:1028" x14ac:dyDescent="0.35">
      <c r="AMF46" s="216"/>
      <c r="AMG46" s="216"/>
      <c r="AMH46" s="216"/>
      <c r="AMI46" s="216"/>
      <c r="AMJ46" s="216"/>
      <c r="AMK46" s="216"/>
      <c r="AML46" s="216"/>
      <c r="AMM46" s="216"/>
      <c r="AMN46" s="216"/>
    </row>
    <row r="47" spans="1020:1028" x14ac:dyDescent="0.35">
      <c r="AMF47" s="216"/>
      <c r="AMG47" s="216"/>
      <c r="AMH47" s="216"/>
      <c r="AMI47" s="216"/>
      <c r="AMJ47" s="216"/>
      <c r="AMK47" s="216"/>
      <c r="AML47" s="216"/>
      <c r="AMM47" s="216"/>
      <c r="AMN47" s="216"/>
    </row>
    <row r="48" spans="1020:1028" x14ac:dyDescent="0.35">
      <c r="AMF48" s="216"/>
      <c r="AMG48" s="216"/>
      <c r="AMH48" s="216"/>
      <c r="AMI48" s="216"/>
      <c r="AMJ48" s="216"/>
      <c r="AMK48" s="216"/>
      <c r="AML48" s="216"/>
      <c r="AMM48" s="216"/>
      <c r="AMN48" s="216"/>
    </row>
    <row r="49" spans="1020:1028" x14ac:dyDescent="0.35">
      <c r="AMF49" s="216"/>
      <c r="AMG49" s="216"/>
      <c r="AMH49" s="216"/>
      <c r="AMI49" s="216"/>
      <c r="AMJ49" s="216"/>
      <c r="AMK49" s="216"/>
      <c r="AML49" s="216"/>
      <c r="AMM49" s="216"/>
      <c r="AMN49" s="216"/>
    </row>
    <row r="50" spans="1020:1028" x14ac:dyDescent="0.35">
      <c r="AMF50" s="216"/>
      <c r="AMG50" s="216"/>
      <c r="AMH50" s="216"/>
      <c r="AMI50" s="216"/>
      <c r="AMJ50" s="216"/>
      <c r="AMK50" s="216"/>
      <c r="AML50" s="216"/>
      <c r="AMM50" s="216"/>
      <c r="AMN50" s="216"/>
    </row>
    <row r="51" spans="1020:1028" x14ac:dyDescent="0.35">
      <c r="AMF51" s="216"/>
      <c r="AMG51" s="216"/>
      <c r="AMH51" s="216"/>
      <c r="AMI51" s="216"/>
      <c r="AMJ51" s="216"/>
      <c r="AMK51" s="216"/>
      <c r="AML51" s="216"/>
      <c r="AMM51" s="216"/>
      <c r="AMN51" s="216"/>
    </row>
    <row r="52" spans="1020:1028" x14ac:dyDescent="0.35">
      <c r="AMF52" s="216"/>
      <c r="AMG52" s="216"/>
      <c r="AMH52" s="216"/>
      <c r="AMI52" s="216"/>
      <c r="AMJ52" s="216"/>
      <c r="AMK52" s="216"/>
      <c r="AML52" s="216"/>
      <c r="AMM52" s="216"/>
      <c r="AMN52" s="216"/>
    </row>
    <row r="53" spans="1020:1028" x14ac:dyDescent="0.35">
      <c r="AMF53" s="216"/>
      <c r="AMG53" s="216"/>
      <c r="AMH53" s="216"/>
      <c r="AMI53" s="216"/>
      <c r="AMJ53" s="216"/>
      <c r="AMK53" s="216"/>
      <c r="AML53" s="216"/>
      <c r="AMM53" s="216"/>
      <c r="AMN53" s="216"/>
    </row>
    <row r="54" spans="1020:1028" x14ac:dyDescent="0.35">
      <c r="AMF54" s="216"/>
      <c r="AMG54" s="216"/>
      <c r="AMH54" s="216"/>
      <c r="AMI54" s="216"/>
      <c r="AMJ54" s="216"/>
      <c r="AMK54" s="216"/>
      <c r="AML54" s="216"/>
      <c r="AMM54" s="216"/>
      <c r="AMN54" s="216"/>
    </row>
    <row r="55" spans="1020:1028" x14ac:dyDescent="0.35">
      <c r="AMF55" s="216"/>
      <c r="AMG55" s="216"/>
      <c r="AMH55" s="216"/>
      <c r="AMI55" s="216"/>
      <c r="AMJ55" s="216"/>
      <c r="AMK55" s="216"/>
      <c r="AML55" s="216"/>
      <c r="AMM55" s="216"/>
      <c r="AMN55" s="216"/>
    </row>
    <row r="56" spans="1020:1028" x14ac:dyDescent="0.35">
      <c r="AMF56" s="216"/>
      <c r="AMG56" s="216"/>
      <c r="AMH56" s="216"/>
      <c r="AMI56" s="216"/>
      <c r="AMJ56" s="216"/>
      <c r="AMK56" s="216"/>
      <c r="AML56" s="216"/>
      <c r="AMM56" s="216"/>
      <c r="AMN56" s="216"/>
    </row>
    <row r="57" spans="1020:1028" x14ac:dyDescent="0.35">
      <c r="AMF57" s="216"/>
      <c r="AMG57" s="216"/>
      <c r="AMH57" s="216"/>
      <c r="AMI57" s="216"/>
      <c r="AMJ57" s="216"/>
      <c r="AMK57" s="216"/>
      <c r="AML57" s="216"/>
      <c r="AMM57" s="216"/>
      <c r="AMN57" s="216"/>
    </row>
    <row r="58" spans="1020:1028" x14ac:dyDescent="0.35">
      <c r="AMF58" s="216"/>
      <c r="AMG58" s="216"/>
      <c r="AMH58" s="216"/>
      <c r="AMI58" s="216"/>
      <c r="AMJ58" s="216"/>
      <c r="AMK58" s="216"/>
      <c r="AML58" s="216"/>
      <c r="AMM58" s="216"/>
      <c r="AMN58" s="216"/>
    </row>
    <row r="59" spans="1020:1028" x14ac:dyDescent="0.35">
      <c r="AMF59" s="216"/>
      <c r="AMG59" s="216"/>
      <c r="AMH59" s="216"/>
      <c r="AMI59" s="216"/>
      <c r="AMJ59" s="216"/>
      <c r="AMK59" s="216"/>
      <c r="AML59" s="216"/>
      <c r="AMM59" s="216"/>
      <c r="AMN59" s="216"/>
    </row>
    <row r="60" spans="1020:1028" x14ac:dyDescent="0.35">
      <c r="AMF60" s="216"/>
      <c r="AMG60" s="216"/>
      <c r="AMH60" s="216"/>
      <c r="AMI60" s="216"/>
      <c r="AMJ60" s="216"/>
      <c r="AMK60" s="216"/>
      <c r="AML60" s="216"/>
      <c r="AMM60" s="216"/>
      <c r="AMN60" s="216"/>
    </row>
    <row r="61" spans="1020:1028" x14ac:dyDescent="0.35">
      <c r="AMF61" s="216"/>
      <c r="AMG61" s="216"/>
      <c r="AMH61" s="216"/>
      <c r="AMI61" s="216"/>
      <c r="AMJ61" s="216"/>
      <c r="AMK61" s="216"/>
      <c r="AML61" s="216"/>
      <c r="AMM61" s="216"/>
      <c r="AMN61" s="216"/>
    </row>
    <row r="62" spans="1020:1028" x14ac:dyDescent="0.35">
      <c r="AMF62" s="216"/>
      <c r="AMG62" s="216"/>
      <c r="AMH62" s="216"/>
      <c r="AMI62" s="216"/>
      <c r="AMJ62" s="216"/>
      <c r="AMK62" s="216"/>
      <c r="AML62" s="216"/>
      <c r="AMM62" s="216"/>
      <c r="AMN62" s="216"/>
    </row>
    <row r="63" spans="1020:1028" x14ac:dyDescent="0.35">
      <c r="AMF63" s="216"/>
      <c r="AMG63" s="216"/>
      <c r="AMH63" s="216"/>
      <c r="AMI63" s="216"/>
      <c r="AMJ63" s="216"/>
      <c r="AMK63" s="216"/>
      <c r="AML63" s="216"/>
      <c r="AMM63" s="216"/>
      <c r="AMN63" s="216"/>
    </row>
    <row r="64" spans="1020:1028" x14ac:dyDescent="0.35">
      <c r="AMF64" s="216"/>
      <c r="AMG64" s="216"/>
      <c r="AMH64" s="216"/>
      <c r="AMI64" s="216"/>
      <c r="AMJ64" s="216"/>
      <c r="AMK64" s="216"/>
      <c r="AML64" s="216"/>
      <c r="AMM64" s="216"/>
      <c r="AMN64" s="216"/>
    </row>
    <row r="65" spans="1020:1028" x14ac:dyDescent="0.35">
      <c r="AMF65" s="216"/>
      <c r="AMG65" s="216"/>
      <c r="AMH65" s="216"/>
      <c r="AMI65" s="216"/>
      <c r="AMJ65" s="216"/>
      <c r="AMK65" s="216"/>
      <c r="AML65" s="216"/>
      <c r="AMM65" s="216"/>
      <c r="AMN65" s="216"/>
    </row>
    <row r="66" spans="1020:1028" x14ac:dyDescent="0.35">
      <c r="AMF66" s="216"/>
      <c r="AMG66" s="216"/>
      <c r="AMH66" s="216"/>
      <c r="AMI66" s="216"/>
      <c r="AMJ66" s="216"/>
      <c r="AMK66" s="216"/>
      <c r="AML66" s="216"/>
      <c r="AMM66" s="216"/>
      <c r="AMN66" s="216"/>
    </row>
    <row r="67" spans="1020:1028" x14ac:dyDescent="0.35">
      <c r="AMF67" s="216"/>
      <c r="AMG67" s="216"/>
      <c r="AMH67" s="216"/>
      <c r="AMI67" s="216"/>
      <c r="AMJ67" s="216"/>
      <c r="AMK67" s="216"/>
      <c r="AML67" s="216"/>
      <c r="AMM67" s="216"/>
      <c r="AMN67" s="216"/>
    </row>
    <row r="68" spans="1020:1028" x14ac:dyDescent="0.35">
      <c r="AMF68" s="216"/>
      <c r="AMG68" s="216"/>
      <c r="AMH68" s="216"/>
      <c r="AMI68" s="216"/>
      <c r="AMJ68" s="216"/>
      <c r="AMK68" s="216"/>
      <c r="AML68" s="216"/>
      <c r="AMM68" s="216"/>
      <c r="AMN68" s="216"/>
    </row>
    <row r="69" spans="1020:1028" x14ac:dyDescent="0.35">
      <c r="AMF69" s="216"/>
      <c r="AMG69" s="216"/>
      <c r="AMH69" s="216"/>
      <c r="AMI69" s="216"/>
      <c r="AMJ69" s="216"/>
      <c r="AMK69" s="216"/>
      <c r="AML69" s="216"/>
      <c r="AMM69" s="216"/>
      <c r="AMN69" s="216"/>
    </row>
    <row r="70" spans="1020:1028" x14ac:dyDescent="0.35">
      <c r="AMF70" s="216"/>
      <c r="AMG70" s="216"/>
      <c r="AMH70" s="216"/>
      <c r="AMI70" s="216"/>
      <c r="AMJ70" s="216"/>
      <c r="AMK70" s="216"/>
      <c r="AML70" s="216"/>
      <c r="AMM70" s="216"/>
      <c r="AMN70" s="216"/>
    </row>
    <row r="71" spans="1020:1028" x14ac:dyDescent="0.35">
      <c r="AMF71" s="216"/>
      <c r="AMG71" s="216"/>
      <c r="AMH71" s="216"/>
      <c r="AMI71" s="216"/>
      <c r="AMJ71" s="216"/>
      <c r="AMK71" s="216"/>
      <c r="AML71" s="216"/>
      <c r="AMM71" s="216"/>
      <c r="AMN71" s="216"/>
    </row>
  </sheetData>
  <mergeCells count="3">
    <mergeCell ref="H8:J8"/>
    <mergeCell ref="L8:N8"/>
    <mergeCell ref="AMF8:AMH8"/>
  </mergeCells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7" t="s">
        <v>6</v>
      </c>
      <c r="B2" s="268"/>
      <c r="C2" s="268"/>
      <c r="D2" s="269"/>
      <c r="E2" s="269"/>
      <c r="F2" s="269"/>
      <c r="G2" s="118"/>
      <c r="I2" s="262" t="s">
        <v>7</v>
      </c>
      <c r="J2" s="262"/>
      <c r="K2" s="262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63</v>
      </c>
      <c r="C5" s="133"/>
      <c r="D5" s="138"/>
      <c r="E5" s="30">
        <v>80</v>
      </c>
      <c r="F5" s="30">
        <v>85</v>
      </c>
      <c r="G5" s="30">
        <v>85</v>
      </c>
      <c r="I5" s="263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3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97</v>
      </c>
      <c r="C7" s="133"/>
      <c r="D7" s="138"/>
      <c r="E7" s="30">
        <v>80</v>
      </c>
      <c r="F7" s="30">
        <v>85</v>
      </c>
      <c r="G7" s="30">
        <v>85</v>
      </c>
      <c r="I7" s="263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Roja</v>
      </c>
      <c r="C8" s="137"/>
      <c r="D8" s="138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3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12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4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26</v>
      </c>
      <c r="C11" s="133"/>
      <c r="D11" s="138"/>
      <c r="E11" s="30">
        <v>80</v>
      </c>
      <c r="F11" s="30">
        <v>85</v>
      </c>
      <c r="G11" s="30">
        <v>85</v>
      </c>
      <c r="I11" s="265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6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55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10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41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61</v>
      </c>
      <c r="C19" s="133">
        <v>88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60</v>
      </c>
      <c r="C20" s="164">
        <v>36</v>
      </c>
      <c r="D20" s="167">
        <v>29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44</v>
      </c>
      <c r="C21" s="165">
        <v>28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5" t="s">
        <v>71</v>
      </c>
      <c r="D1" s="276"/>
      <c r="E1" s="275" t="s">
        <v>72</v>
      </c>
      <c r="F1" s="276"/>
      <c r="G1" s="275" t="s">
        <v>73</v>
      </c>
      <c r="H1" s="276"/>
    </row>
    <row r="2" spans="1:16" x14ac:dyDescent="0.35">
      <c r="C2" s="271">
        <f>DigitaTICA!C2</f>
        <v>97</v>
      </c>
      <c r="D2" s="272"/>
      <c r="E2" s="271">
        <f>DigitaTICA!E2</f>
        <v>26</v>
      </c>
      <c r="F2" s="272"/>
      <c r="G2" s="271">
        <f>DigitaTICA!G2</f>
        <v>10</v>
      </c>
      <c r="H2" s="272"/>
    </row>
    <row r="3" spans="1:16" x14ac:dyDescent="0.35">
      <c r="C3" s="273"/>
      <c r="D3" s="274"/>
      <c r="E3" s="273"/>
      <c r="F3" s="274"/>
      <c r="G3" s="273"/>
      <c r="H3" s="274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72350</v>
      </c>
      <c r="D4" s="30">
        <f>IF(Vendedor1!$E$7="",0,Vendedor1!$E$7)</f>
        <v>300</v>
      </c>
      <c r="E4" s="181">
        <f>IF(Vendedor1!$C$11="",0,Vendedor1!$C$11)</f>
        <v>33200</v>
      </c>
      <c r="F4" s="30">
        <f>IF(Vendedor1!$E$11="",0,Vendedor1!$E$11)</f>
        <v>0</v>
      </c>
      <c r="G4" s="181">
        <f>IF(Vendedor1!$C$15="",0,Vendedor1!$C$15)</f>
        <v>55800</v>
      </c>
      <c r="H4" s="30">
        <f>IF(Vendedor1!$E$15="",0,Vendedor1!$E$15)</f>
        <v>1050</v>
      </c>
      <c r="J4" s="42">
        <f t="shared" ref="J4:J7" si="0">+C4+E4+G4</f>
        <v>161350</v>
      </c>
      <c r="K4" s="41">
        <f>MROUND(J4*Vendedor1!J$9,50)</f>
        <v>21000</v>
      </c>
      <c r="L4" s="42">
        <f t="shared" ref="L4:L7" si="1">+D4+F4+H4</f>
        <v>1350</v>
      </c>
      <c r="M4" s="42">
        <f t="shared" ref="M4:M7" si="2">+L4*85</f>
        <v>114750</v>
      </c>
      <c r="N4" s="42">
        <f>Vendedor1!$F$7+Vendedor1!$F$11+Vendedor1!$F$15</f>
        <v>114750</v>
      </c>
      <c r="P4" s="42">
        <f t="shared" ref="P4:P7" si="3">+J4-K4-N4</f>
        <v>25600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60250</v>
      </c>
      <c r="D5" s="30">
        <f>IF(Vendedor2!$E$7="",0,Vendedor2!$E$7)</f>
        <v>1000</v>
      </c>
      <c r="E5" s="181">
        <f>IF(Vendedor2!$C$11="",0,Vendedor2!$C$11)</f>
        <v>27050</v>
      </c>
      <c r="F5" s="30">
        <f>IF(Vendedor2!$E$11="",0,Vendedor2!$E$11)</f>
        <v>0</v>
      </c>
      <c r="G5" s="181">
        <f>IF(Vendedor2!$C$15="",0,Vendedor2!$C$15)</f>
        <v>72400</v>
      </c>
      <c r="H5" s="30">
        <f>IF(Vendedor2!$E$15="",0,Vendedor2!$E$15)</f>
        <v>3100</v>
      </c>
      <c r="J5" s="42">
        <f t="shared" si="0"/>
        <v>159700</v>
      </c>
      <c r="K5" s="41">
        <f>MROUND(J5*Vendedor2!J$9,50)</f>
        <v>20750</v>
      </c>
      <c r="L5" s="42">
        <f t="shared" si="1"/>
        <v>4100</v>
      </c>
      <c r="M5" s="42">
        <f t="shared" si="2"/>
        <v>348500</v>
      </c>
      <c r="N5" s="42">
        <f>Vendedor2!$F$7+Vendedor2!$F$11+Vendedor2!$F$15</f>
        <v>348500</v>
      </c>
      <c r="P5" s="42">
        <f t="shared" si="3"/>
        <v>-209550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61000</v>
      </c>
      <c r="D8" s="30">
        <f>IF(Vendedor5!$E$7="",0,Vendedor5!$E$7)</f>
        <v>0</v>
      </c>
      <c r="E8" s="181">
        <f>IF(Vendedor5!$C$11="",0,Vendedor5!$C$11)</f>
        <v>67200</v>
      </c>
      <c r="F8" s="30">
        <f>IF(Vendedor5!$E$11="",0,Vendedor5!$E$11)</f>
        <v>250</v>
      </c>
      <c r="G8" s="181">
        <f>IF(Vendedor5!$C$15="",0,Vendedor5!$C$15)</f>
        <v>75650</v>
      </c>
      <c r="H8" s="30">
        <f>IF(Vendedor5!$E$15="",0,Vendedor5!$E$15)</f>
        <v>1250</v>
      </c>
      <c r="J8" s="42">
        <f t="shared" ref="J8" si="4">+C8+E8+G8</f>
        <v>203850</v>
      </c>
      <c r="K8" s="41">
        <f>MROUND(J8*Vendedor5!J$11,50)</f>
        <v>24450</v>
      </c>
      <c r="L8" s="42">
        <f t="shared" ref="L8" si="5">+D8+F8+H8</f>
        <v>1500</v>
      </c>
      <c r="M8" s="42">
        <f t="shared" ref="M8" si="6">+L8*85</f>
        <v>127500</v>
      </c>
      <c r="N8" s="42">
        <f>Vendedor5!$F$7+Vendedor5!$F$11+Vendedor5!$F$15</f>
        <v>127500</v>
      </c>
      <c r="P8" s="42">
        <f t="shared" ref="P8" si="7">+J8-K8-N8</f>
        <v>51900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139350</v>
      </c>
      <c r="D10" s="30">
        <f>IF(Vendedor7!$E$7="",0,Vendedor7!$E$7)</f>
        <v>850</v>
      </c>
      <c r="E10" s="181">
        <f>IF(Vendedor7!$C$11="",0,Vendedor7!$C$11)</f>
        <v>144450</v>
      </c>
      <c r="F10" s="30">
        <f>IF(Vendedor7!$E$11="",0,Vendedor7!$E$11)</f>
        <v>2850</v>
      </c>
      <c r="G10" s="181">
        <f>IF(Vendedor7!$C$15="",0,Vendedor7!$C$15)</f>
        <v>144300</v>
      </c>
      <c r="H10" s="30">
        <f>IF(Vendedor7!$E$15="",0,Vendedor7!$E$15)</f>
        <v>3400</v>
      </c>
      <c r="J10" s="42">
        <f t="shared" si="8"/>
        <v>428100</v>
      </c>
      <c r="K10" s="41">
        <f>MROUND(J10*Vendedor7!J$14,50)</f>
        <v>51350</v>
      </c>
      <c r="L10" s="42">
        <f t="shared" si="9"/>
        <v>7100</v>
      </c>
      <c r="M10" s="42">
        <f t="shared" si="10"/>
        <v>603500</v>
      </c>
      <c r="N10" s="42">
        <f>Vendedor7!$F$7+Vendedor7!$F$11+Vendedor7!$F$15</f>
        <v>603500</v>
      </c>
      <c r="P10" s="42">
        <f t="shared" si="11"/>
        <v>-226750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5000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7800</v>
      </c>
      <c r="H11" s="30">
        <f>IF(Vendedor8!$E$15="",0,Vendedor8!$E$15)</f>
        <v>0</v>
      </c>
      <c r="J11" s="42">
        <f t="shared" si="8"/>
        <v>12800</v>
      </c>
      <c r="K11" s="41">
        <f>MROUND(J11*Vendedor8!J$11,50)</f>
        <v>1550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11250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34750</v>
      </c>
      <c r="D12" s="30">
        <f>IF(Vendedor9!$E$7="",0,Vendedor9!$E$7)</f>
        <v>0</v>
      </c>
      <c r="E12" s="181">
        <f>IF(Vendedor9!$C$11="",0,Vendedor9!$C$11)</f>
        <v>19350</v>
      </c>
      <c r="F12" s="30">
        <f>IF(Vendedor9!$E$11="",0,Vendedor9!$E$11)</f>
        <v>0</v>
      </c>
      <c r="G12" s="181">
        <f>IF(Vendedor9!$C$15="",0,Vendedor9!$C$15)</f>
        <v>13900</v>
      </c>
      <c r="H12" s="30">
        <f>IF(Vendedor9!$E$15="",0,Vendedor9!$E$15)</f>
        <v>400</v>
      </c>
      <c r="J12" s="42">
        <f t="shared" si="8"/>
        <v>68000</v>
      </c>
      <c r="K12" s="41">
        <f>MROUND(J12*Vendedor9!J$11,50)</f>
        <v>8150</v>
      </c>
      <c r="L12" s="42">
        <f t="shared" si="9"/>
        <v>400</v>
      </c>
      <c r="M12" s="42">
        <f t="shared" si="10"/>
        <v>34000</v>
      </c>
      <c r="N12" s="42">
        <f>Vendedor9!$F$7+Vendedor9!$F$11+Vendedor9!$F$15</f>
        <v>34000</v>
      </c>
      <c r="P12" s="42">
        <f t="shared" si="11"/>
        <v>25850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18400</v>
      </c>
      <c r="D13" s="30">
        <f>IF(Vendedor10!$E$7="",0,Vendedor10!$E$7)</f>
        <v>300</v>
      </c>
      <c r="E13" s="181">
        <f>IF(Vendedor10!$C$11="",0,Vendedor10!$C$11)</f>
        <v>23650</v>
      </c>
      <c r="F13" s="30">
        <f>IF(Vendedor10!$E$11="",0,Vendedor10!$E$11)</f>
        <v>150</v>
      </c>
      <c r="G13" s="181">
        <f>IF(Vendedor10!$C$15="",0,Vendedor10!$C$15)</f>
        <v>31550</v>
      </c>
      <c r="H13" s="30">
        <f>IF(Vendedor10!$E$15="",0,Vendedor10!$E$15)</f>
        <v>900</v>
      </c>
      <c r="J13" s="42">
        <f t="shared" si="8"/>
        <v>73600</v>
      </c>
      <c r="K13" s="41">
        <f>MROUND(J13*Vendedor10!J$9,50)</f>
        <v>8850</v>
      </c>
      <c r="L13" s="42">
        <f t="shared" si="9"/>
        <v>1350</v>
      </c>
      <c r="M13" s="42">
        <f t="shared" si="10"/>
        <v>114750</v>
      </c>
      <c r="N13" s="42">
        <f>Vendedor10!$F$7+Vendedor10!$F$11+Vendedor10!$F$15</f>
        <v>114750</v>
      </c>
      <c r="P13" s="42">
        <f t="shared" si="11"/>
        <v>-50000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46100</v>
      </c>
      <c r="D14" s="30">
        <f>IF(Vendedor11!$E$7="",0,Vendedor11!$E$7)</f>
        <v>0</v>
      </c>
      <c r="E14" s="181">
        <f>IF(Vendedor11!$C$11="",0,Vendedor11!$C$11)</f>
        <v>24400</v>
      </c>
      <c r="F14" s="30">
        <f>IF(Vendedor11!$E$11="",0,Vendedor11!$E$11)</f>
        <v>700</v>
      </c>
      <c r="G14" s="181">
        <f>IF(Vendedor11!$C$15="",0,Vendedor11!$C$15)</f>
        <v>46950</v>
      </c>
      <c r="H14" s="30">
        <f>IF(Vendedor11!$E$15="",0,Vendedor11!$E$15)</f>
        <v>1300</v>
      </c>
      <c r="J14" s="42">
        <f t="shared" si="8"/>
        <v>117450</v>
      </c>
      <c r="K14" s="41">
        <f>MROUND(J14*Vendedor11!J$9,50)</f>
        <v>17600</v>
      </c>
      <c r="L14" s="42">
        <f t="shared" si="9"/>
        <v>2000</v>
      </c>
      <c r="M14" s="42">
        <f t="shared" si="10"/>
        <v>170000</v>
      </c>
      <c r="N14" s="42">
        <f>Vendedor11!$F$7+Vendedor11!$F$11+Vendedor11!$F$15</f>
        <v>160000</v>
      </c>
      <c r="P14" s="42">
        <f t="shared" si="11"/>
        <v>-60150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13750</v>
      </c>
      <c r="F15" s="30">
        <f>IF(Vendedor12!$E$11="",0,Vendedor12!$E$11)</f>
        <v>0</v>
      </c>
      <c r="G15" s="181">
        <f>IF(Vendedor12!$C$15="",0,Vendedor12!$C$15)</f>
        <v>27900</v>
      </c>
      <c r="H15" s="30">
        <f>IF(Vendedor12!$E$15="",0,Vendedor12!$E$15)</f>
        <v>3400</v>
      </c>
      <c r="J15" s="42">
        <f t="shared" si="8"/>
        <v>41650</v>
      </c>
      <c r="K15" s="41">
        <f>MROUND(J15*Vendedor12!J$9,50)</f>
        <v>4150</v>
      </c>
      <c r="L15" s="42">
        <f t="shared" si="9"/>
        <v>3400</v>
      </c>
      <c r="M15" s="42">
        <f t="shared" si="10"/>
        <v>289000</v>
      </c>
      <c r="N15" s="42">
        <f>Vendedor12!$F$7+Vendedor12!$F$11+Vendedor12!$F$15</f>
        <v>289000</v>
      </c>
      <c r="P15" s="42">
        <f t="shared" si="11"/>
        <v>-251500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15800</v>
      </c>
      <c r="D16" s="30">
        <f>IF(Vendedor13!$E$7="",0,Vendedor13!$E$7)</f>
        <v>0</v>
      </c>
      <c r="E16" s="181">
        <f>IF(Vendedor13!$C$11="",0,Vendedor13!$C$11)</f>
        <v>21550</v>
      </c>
      <c r="F16" s="30">
        <f>IF(Vendedor13!$E$11="",0,Vendedor13!$E$11)</f>
        <v>0</v>
      </c>
      <c r="G16" s="181">
        <f>IF(Vendedor13!$C$15="",0,Vendedor13!$C$15)</f>
        <v>33700</v>
      </c>
      <c r="H16" s="30">
        <f>IF(Vendedor13!$E$15="",0,Vendedor13!$E$15)</f>
        <v>250</v>
      </c>
      <c r="J16" s="42">
        <f t="shared" si="8"/>
        <v>71050</v>
      </c>
      <c r="K16" s="41">
        <f>MROUND(J16*Vendedor13!J$11,50)</f>
        <v>8550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41250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104500</v>
      </c>
      <c r="D17" s="30">
        <f>IF(Vendedor14!$E$7="",0,Vendedor14!$E$7)</f>
        <v>400</v>
      </c>
      <c r="E17" s="181">
        <f>IF(Vendedor14!$C$11="",0,Vendedor14!$C$11)</f>
        <v>100750</v>
      </c>
      <c r="F17" s="30">
        <f>IF(Vendedor14!$E$11="",0,Vendedor14!$E$11)</f>
        <v>700</v>
      </c>
      <c r="G17" s="181">
        <f>IF(Vendedor14!$C$15="",0,Vendedor14!$C$15)</f>
        <v>210400</v>
      </c>
      <c r="H17" s="30">
        <f>IF(Vendedor14!$E$15="",0,Vendedor14!$E$15)</f>
        <v>4550</v>
      </c>
      <c r="J17" s="42">
        <f t="shared" si="8"/>
        <v>415650</v>
      </c>
      <c r="K17" s="41">
        <f>MROUND(J17*Vendedor14!J$15,50)</f>
        <v>49900</v>
      </c>
      <c r="L17" s="42">
        <f t="shared" si="9"/>
        <v>5650</v>
      </c>
      <c r="M17" s="42">
        <f t="shared" si="10"/>
        <v>480250</v>
      </c>
      <c r="N17" s="42">
        <f>Vendedor14!$F$7+Vendedor14!$F$11+Vendedor14!$F$15</f>
        <v>480250</v>
      </c>
      <c r="P17" s="42">
        <f t="shared" si="11"/>
        <v>-114500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49300</v>
      </c>
      <c r="D18" s="30">
        <f>IF(Vendedor15!$E$7="",0,Vendedor15!$E$7)</f>
        <v>200</v>
      </c>
      <c r="E18" s="181">
        <f>IF(Vendedor15!$C$11="",0,Vendedor15!$C$11)</f>
        <v>54650</v>
      </c>
      <c r="F18" s="30">
        <f>IF(Vendedor15!$E$11="",0,Vendedor15!$E$11)</f>
        <v>900</v>
      </c>
      <c r="G18" s="181">
        <f>IF(Vendedor15!$C$15="",0,Vendedor15!$C$15)</f>
        <v>71850</v>
      </c>
      <c r="H18" s="30">
        <f>IF(Vendedor15!$E$15="",0,Vendedor15!$E$15)</f>
        <v>500</v>
      </c>
      <c r="J18" s="42">
        <f t="shared" ref="J18" si="12">+C18+E18+G18</f>
        <v>175800</v>
      </c>
      <c r="K18" s="41">
        <f>MROUND(J18*Vendedor15!J$15,50)</f>
        <v>21100</v>
      </c>
      <c r="L18" s="42">
        <f t="shared" ref="L18" si="13">+D18+F18+H18</f>
        <v>1600</v>
      </c>
      <c r="M18" s="42">
        <f t="shared" ref="M18" si="14">+L18*85</f>
        <v>136000</v>
      </c>
      <c r="N18" s="42">
        <f>Vendedor15!$F$7+Vendedor15!$F$11+Vendedor15!$F$15</f>
        <v>136000</v>
      </c>
      <c r="P18" s="42">
        <f t="shared" ref="P18" si="15">+J18-K18-N18</f>
        <v>18700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-16396</v>
      </c>
      <c r="D27" s="50">
        <f>IF(Vendedor24!$E$7="",0,Vendedor24!$E$7)</f>
        <v>0</v>
      </c>
      <c r="E27" s="182">
        <f>IF(Vendedor24!$C$11="",0,Vendedor24!$C$11)</f>
        <v>-6500</v>
      </c>
      <c r="F27" s="50">
        <f>IF(Vendedor24!$E$11="",0,Vendedor24!$E$11)</f>
        <v>0</v>
      </c>
      <c r="G27" s="182">
        <f>IF(Vendedor24!$C$15="",0,Vendedor24!$C$15)</f>
        <v>-1434</v>
      </c>
      <c r="H27" s="50">
        <f>IF(Vendedor24!$E$15="",0,Vendedor24!$E$15)</f>
        <v>0</v>
      </c>
      <c r="J27" s="42">
        <f t="shared" si="8"/>
        <v>-24330</v>
      </c>
      <c r="K27" s="41">
        <f>IF(J27*Vendedor24!J$9&gt;0,MROUND(J27*Vendedor24!J$9,50),MROUND(J27*Vendedor24!J$9,-50))</f>
        <v>-2900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-21430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590404</v>
      </c>
      <c r="D32" s="44">
        <f t="shared" si="16"/>
        <v>3050</v>
      </c>
      <c r="E32" s="43">
        <f t="shared" si="16"/>
        <v>523500</v>
      </c>
      <c r="F32" s="44">
        <f t="shared" si="16"/>
        <v>5550</v>
      </c>
      <c r="G32" s="43">
        <f t="shared" si="16"/>
        <v>790766</v>
      </c>
      <c r="H32" s="44">
        <f t="shared" si="16"/>
        <v>20100</v>
      </c>
      <c r="J32" s="96">
        <f>SUM(J4:J31)</f>
        <v>1904670</v>
      </c>
      <c r="K32" s="45">
        <f>SUM(K7:K31)</f>
        <v>192750</v>
      </c>
      <c r="L32" s="96">
        <f>SUM(L4:L31)</f>
        <v>28700</v>
      </c>
      <c r="M32" s="96">
        <f>SUM(M4:M31)</f>
        <v>2439500</v>
      </c>
      <c r="N32" s="96">
        <f>SUM(N4:N31)</f>
        <v>2429500</v>
      </c>
      <c r="P32" s="80">
        <f>SUM(P4:P31)</f>
        <v>-759330</v>
      </c>
    </row>
    <row r="33" spans="3:13" x14ac:dyDescent="0.35">
      <c r="D33" s="100">
        <f>+D32*85</f>
        <v>259250</v>
      </c>
      <c r="F33" s="100">
        <f>+F32*85</f>
        <v>471750</v>
      </c>
      <c r="H33" s="100">
        <f>+H32*85</f>
        <v>1708500</v>
      </c>
    </row>
    <row r="34" spans="3:13" ht="15" thickBot="1" x14ac:dyDescent="0.4">
      <c r="L34" s="150"/>
      <c r="M34" s="43"/>
    </row>
    <row r="35" spans="3:13" x14ac:dyDescent="0.35">
      <c r="C35" s="270" t="s">
        <v>89</v>
      </c>
      <c r="D35" s="270"/>
    </row>
    <row r="36" spans="3:13" x14ac:dyDescent="0.35">
      <c r="C36" s="47" t="s">
        <v>28</v>
      </c>
      <c r="D36" s="30">
        <f>+C32+E32+G32</f>
        <v>1904670</v>
      </c>
      <c r="E36" s="43">
        <f>+D36-J4-J5-J6</f>
        <v>1583620</v>
      </c>
      <c r="G36" s="102"/>
    </row>
    <row r="37" spans="3:13" x14ac:dyDescent="0.35">
      <c r="C37" s="47" t="s">
        <v>33</v>
      </c>
      <c r="D37" s="48">
        <f>D36*13%</f>
        <v>247607.1</v>
      </c>
      <c r="E37">
        <f>+D37-K4-K5-K6</f>
        <v>205857.1</v>
      </c>
      <c r="G37" s="101"/>
      <c r="H37" s="101"/>
    </row>
    <row r="38" spans="3:13" ht="15" thickBot="1" x14ac:dyDescent="0.4">
      <c r="C38" s="47" t="s">
        <v>30</v>
      </c>
      <c r="D38" s="30">
        <f>M32</f>
        <v>2439500</v>
      </c>
      <c r="G38" s="101"/>
      <c r="H38" s="101"/>
    </row>
    <row r="39" spans="3:13" ht="15" thickBot="1" x14ac:dyDescent="0.4">
      <c r="C39" s="49" t="s">
        <v>4</v>
      </c>
      <c r="D39" s="81">
        <f>+D36-D37-D38</f>
        <v>-782437.10000000009</v>
      </c>
      <c r="F39" s="99">
        <f>+P32-D39</f>
        <v>23107.100000000093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-782437.10000000009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5" t="s">
        <v>23</v>
      </c>
      <c r="D1" s="276"/>
      <c r="E1" s="275" t="s">
        <v>24</v>
      </c>
      <c r="F1" s="276"/>
      <c r="G1" s="275" t="s">
        <v>25</v>
      </c>
      <c r="H1" s="276"/>
      <c r="I1" s="275" t="s">
        <v>26</v>
      </c>
      <c r="J1" s="276"/>
    </row>
    <row r="2" spans="1:18" x14ac:dyDescent="0.35">
      <c r="C2" s="271">
        <f>DigitaNICA!C2</f>
        <v>63</v>
      </c>
      <c r="D2" s="272"/>
      <c r="E2" s="271">
        <f>DigitaNICA!E2</f>
        <v>12</v>
      </c>
      <c r="F2" s="272"/>
      <c r="G2" s="271">
        <f>DigitaNICA!G2</f>
        <v>55</v>
      </c>
      <c r="H2" s="272"/>
      <c r="I2" s="271">
        <f>DigitaNICA!I2</f>
        <v>41</v>
      </c>
      <c r="J2" s="272"/>
    </row>
    <row r="3" spans="1:18" ht="15" thickBot="1" x14ac:dyDescent="0.4">
      <c r="C3" s="271"/>
      <c r="D3" s="272"/>
      <c r="E3" s="271"/>
      <c r="F3" s="272"/>
      <c r="G3" s="271"/>
      <c r="H3" s="272"/>
      <c r="I3" s="271"/>
      <c r="J3" s="272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44100</v>
      </c>
      <c r="D4" s="79">
        <f>IF(Vendedor1!$E$5="",0,Vendedor1!$E$5)</f>
        <v>350</v>
      </c>
      <c r="E4" s="190">
        <f>IF(Vendedor1!$C$9="",0,Vendedor1!$C$9)</f>
        <v>19600</v>
      </c>
      <c r="F4" s="79">
        <f>IF(Vendedor1!$E$9="",0,Vendedor1!$E$9)</f>
        <v>950</v>
      </c>
      <c r="G4" s="190">
        <f>IF(Vendedor1!$C$13="",0,Vendedor1!$C$13)</f>
        <v>2800</v>
      </c>
      <c r="H4" s="79">
        <f>IF(Vendedor1!$E$13="",0,Vendedor1!$E$13)</f>
        <v>0</v>
      </c>
      <c r="I4" s="190">
        <f>IF(Vendedor1!$C$17="",0,Vendedor1!$C$17)</f>
        <v>3850</v>
      </c>
      <c r="J4" s="79">
        <f>IF(Vendedor1!$E$17="",0,Vendedor1!$E$17)</f>
        <v>0</v>
      </c>
      <c r="L4" s="42">
        <f t="shared" ref="L4:L7" si="0">C4+E4+G4+I4</f>
        <v>70350</v>
      </c>
      <c r="M4" s="41">
        <f>MROUND(L4*Vendedor1!J$10,50)</f>
        <v>9150</v>
      </c>
      <c r="N4" s="42">
        <f t="shared" ref="N4:N7" si="1">D4+F4+H4+J4</f>
        <v>1300</v>
      </c>
      <c r="O4" s="41">
        <f>IFERROR(N4*85,0)</f>
        <v>110500</v>
      </c>
      <c r="P4" s="42">
        <f>Vendedor1!$F$5+Vendedor1!$F$9+Vendedor1!$F$13+Vendedor1!$F$17</f>
        <v>104000</v>
      </c>
      <c r="R4" s="41">
        <f t="shared" ref="R4:R7" si="2">+L4-M4-O4</f>
        <v>-49300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13600</v>
      </c>
      <c r="D5" s="30">
        <f>IF(Vendedor2!$E$5="",0,Vendedor2!$E$5)</f>
        <v>200</v>
      </c>
      <c r="E5" s="181">
        <f>IF(Vendedor2!$C$9="",0,Vendedor2!$C$9)</f>
        <v>6500</v>
      </c>
      <c r="F5" s="30">
        <f>IF(Vendedor2!$E$9="",0,Vendedor2!$E$9)</f>
        <v>500</v>
      </c>
      <c r="G5" s="181">
        <f>IF(Vendedor2!$C$13="",0,Vendedor2!$C$13)</f>
        <v>200</v>
      </c>
      <c r="H5" s="30">
        <f>IF(Vendedor2!$E$13="",0,Vendedor2!$E$13)</f>
        <v>0</v>
      </c>
      <c r="I5" s="181">
        <f>IF(Vendedor2!$C$17="",0,Vendedor2!$C$17)</f>
        <v>0</v>
      </c>
      <c r="J5" s="30">
        <f>IF(Vendedor2!$E$17="",0,Vendedor2!$E$17)</f>
        <v>0</v>
      </c>
      <c r="L5" s="42">
        <f t="shared" si="0"/>
        <v>20300</v>
      </c>
      <c r="M5" s="41">
        <f>MROUND(L5*Vendedor2!J$10,50)</f>
        <v>2650</v>
      </c>
      <c r="N5" s="42">
        <f t="shared" si="1"/>
        <v>700</v>
      </c>
      <c r="O5" s="41">
        <f t="shared" ref="O5:O27" si="3">IFERROR(N5*85,0)</f>
        <v>59500</v>
      </c>
      <c r="P5" s="42">
        <f>Vendedor2!$F$5+Vendedor2!$F$9+Vendedor2!$F$13+Vendedor2!$F$17</f>
        <v>56000</v>
      </c>
      <c r="Q5">
        <v>5</v>
      </c>
      <c r="R5" s="41">
        <f t="shared" si="2"/>
        <v>-41850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65450</v>
      </c>
      <c r="D8" s="30">
        <f>IF(Vendedor5!$E$5="",0,Vendedor5!$E$5)</f>
        <v>0</v>
      </c>
      <c r="E8" s="181">
        <f>IF(Vendedor5!$C$9="",0,Vendedor5!$C$9)</f>
        <v>40950</v>
      </c>
      <c r="F8" s="30">
        <f>IF(Vendedor5!$E$9="",0,Vendedor5!$E$9)</f>
        <v>2450</v>
      </c>
      <c r="G8" s="181">
        <f>IF(Vendedor5!$C$13="",0,Vendedor5!$C$13)</f>
        <v>6100</v>
      </c>
      <c r="H8" s="30">
        <f>IF(Vendedor5!$E$13="",0,Vendedor5!$E$13)</f>
        <v>400</v>
      </c>
      <c r="I8" s="181">
        <f>IF(Vendedor5!$C$17="",0,Vendedor5!$C$17)</f>
        <v>54300</v>
      </c>
      <c r="J8" s="30">
        <f>IF(Vendedor5!$E$17="",0,Vendedor5!$E$17)</f>
        <v>400</v>
      </c>
      <c r="L8" s="42">
        <f t="shared" ref="L8" si="4">C8+E8+G8+I8</f>
        <v>166800</v>
      </c>
      <c r="M8" s="41">
        <f>MROUND(L8*Vendedor5!J$12,50)</f>
        <v>20000</v>
      </c>
      <c r="N8" s="42">
        <f t="shared" ref="N8" si="5">D8+F8+H8+J8</f>
        <v>3250</v>
      </c>
      <c r="O8" s="41">
        <f t="shared" si="3"/>
        <v>276250</v>
      </c>
      <c r="P8" s="42">
        <f>Vendedor5!$F$5+Vendedor5!$F$9+Vendedor5!$F$13+Vendedor5!$F$17</f>
        <v>260000</v>
      </c>
      <c r="Q8">
        <v>17</v>
      </c>
      <c r="R8" s="41">
        <f t="shared" ref="R8" si="6">+L8-M8-O8</f>
        <v>-129450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100900</v>
      </c>
      <c r="D10" s="30">
        <f>IF(Vendedor7!$E$5="",0,Vendedor7!$E$5)</f>
        <v>0</v>
      </c>
      <c r="E10" s="181">
        <f>IF(Vendedor7!$C$9="",0,Vendedor7!$C$9)</f>
        <v>91150</v>
      </c>
      <c r="F10" s="30">
        <f>IF(Vendedor7!$E$9="",0,Vendedor7!$E$9)</f>
        <v>2700</v>
      </c>
      <c r="G10" s="181">
        <f>IF(Vendedor7!$C$13="",0,Vendedor7!$C$13)</f>
        <v>84850</v>
      </c>
      <c r="H10" s="30">
        <f>IF(Vendedor7!$E$13="",0,Vendedor7!$E$13)</f>
        <v>550</v>
      </c>
      <c r="I10" s="181">
        <f>IF(Vendedor7!$C$17="",0,Vendedor7!$C$17)</f>
        <v>90600</v>
      </c>
      <c r="J10" s="30">
        <f>IF(Vendedor7!$E$17="",0,Vendedor7!$E$17)</f>
        <v>200</v>
      </c>
      <c r="L10" s="42">
        <f t="shared" si="7"/>
        <v>367500</v>
      </c>
      <c r="M10" s="41">
        <f>MROUND(L10*Vendedor7!J$15,50)</f>
        <v>44100</v>
      </c>
      <c r="N10" s="42">
        <f t="shared" ref="N10:N27" si="9">D10+F10+H10+J10</f>
        <v>3450</v>
      </c>
      <c r="O10" s="41">
        <f t="shared" si="3"/>
        <v>293250</v>
      </c>
      <c r="P10" s="42">
        <f>Vendedor7!$F$5+Vendedor7!$F$9+Vendedor7!$F$13+Vendedor7!$F$17</f>
        <v>293250</v>
      </c>
      <c r="R10" s="41">
        <f t="shared" si="8"/>
        <v>30150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36900</v>
      </c>
      <c r="D12" s="30">
        <f>IF(Vendedor9!$E$5="",0,Vendedor9!$E$5)</f>
        <v>500</v>
      </c>
      <c r="E12" s="181">
        <f>IF(Vendedor9!$C$9="",0,Vendedor9!$C$9)</f>
        <v>3000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39900</v>
      </c>
      <c r="M12" s="41">
        <f>MROUND(L12*Vendedor9!J$12,50)</f>
        <v>4800</v>
      </c>
      <c r="N12" s="42">
        <f t="shared" si="9"/>
        <v>500</v>
      </c>
      <c r="O12" s="41">
        <f t="shared" si="3"/>
        <v>42500</v>
      </c>
      <c r="P12" s="42">
        <f>Vendedor9!$F$5+Vendedor9!$F$9+Vendedor9!$F$13+Vendedor9!$F$17</f>
        <v>42500</v>
      </c>
      <c r="R12" s="41">
        <f t="shared" si="8"/>
        <v>-7400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20050</v>
      </c>
      <c r="D13" s="30">
        <f>IF(Vendedor10!$E$5="",0,Vendedor10!$E$5)</f>
        <v>0</v>
      </c>
      <c r="E13" s="181">
        <f>IF(Vendedor10!$C$9="",0,Vendedor10!$C$9)</f>
        <v>15300</v>
      </c>
      <c r="F13" s="30">
        <f>IF(Vendedor10!$E$9="",0,Vendedor10!$E$9)</f>
        <v>3200</v>
      </c>
      <c r="G13" s="181">
        <f>IF(Vendedor10!$C$13="",0,Vendedor10!$C$13)</f>
        <v>4000</v>
      </c>
      <c r="H13" s="30">
        <f>IF(Vendedor10!$E$13="",0,Vendedor10!$E$13)</f>
        <v>0</v>
      </c>
      <c r="I13" s="181">
        <f>IF(Vendedor10!$C$17="",0,Vendedor10!$C$17)</f>
        <v>5500</v>
      </c>
      <c r="J13" s="30">
        <f>IF(Vendedor10!$E$17="",0,Vendedor10!$E$17)</f>
        <v>300</v>
      </c>
      <c r="L13" s="42">
        <f t="shared" si="7"/>
        <v>44850</v>
      </c>
      <c r="M13" s="41">
        <f>MROUND(L13*Vendedor10!J$10,50)</f>
        <v>5400</v>
      </c>
      <c r="N13" s="42">
        <f t="shared" si="9"/>
        <v>3500</v>
      </c>
      <c r="O13" s="41">
        <f t="shared" si="3"/>
        <v>297500</v>
      </c>
      <c r="P13" s="42">
        <f>Vendedor10!$F$5+Vendedor10!$F$9+Vendedor10!$F$13+Vendedor10!$F$17</f>
        <v>280000</v>
      </c>
      <c r="R13" s="41">
        <f t="shared" si="8"/>
        <v>-258050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25400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34600</v>
      </c>
      <c r="J15" s="30">
        <f>IF(Vendedor12!$E$17="",0,Vendedor12!$E$17)</f>
        <v>0</v>
      </c>
      <c r="L15" s="42">
        <f t="shared" si="7"/>
        <v>60000</v>
      </c>
      <c r="M15" s="41">
        <f>MROUND(L15*Vendedor12!J$10,50)</f>
        <v>7200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52800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22100</v>
      </c>
      <c r="D16" s="30">
        <f>IF(Vendedor13!$E$5="",0,Vendedor13!$E$5)</f>
        <v>0</v>
      </c>
      <c r="E16" s="181">
        <f>IF(Vendedor13!$C$9="",0,Vendedor13!$C$9)</f>
        <v>8500</v>
      </c>
      <c r="F16" s="30">
        <f>IF(Vendedor13!$E$9="",0,Vendedor13!$E$9)</f>
        <v>1700</v>
      </c>
      <c r="G16" s="181">
        <f>IF(Vendedor13!$C$13="",0,Vendedor13!$C$13)</f>
        <v>14000</v>
      </c>
      <c r="H16" s="30">
        <f>IF(Vendedor13!$E$13="",0,Vendedor13!$E$13)</f>
        <v>0</v>
      </c>
      <c r="I16" s="181">
        <f>IF(Vendedor13!$C$17="",0,Vendedor13!$C$17)</f>
        <v>16250</v>
      </c>
      <c r="J16" s="30">
        <f>IF(Vendedor13!$E$17="",0,Vendedor13!$E$17)</f>
        <v>0</v>
      </c>
      <c r="L16" s="42">
        <f t="shared" si="7"/>
        <v>60850</v>
      </c>
      <c r="M16" s="41">
        <f>MROUND(L16*Vendedor13!J$12,50)</f>
        <v>7300</v>
      </c>
      <c r="N16" s="42">
        <f t="shared" si="9"/>
        <v>1700</v>
      </c>
      <c r="O16" s="41">
        <f t="shared" si="3"/>
        <v>144500</v>
      </c>
      <c r="P16" s="42">
        <f>Vendedor13!$F$5+Vendedor13!$F$9+Vendedor13!$F$13+Vendedor13!$F$17</f>
        <v>136000</v>
      </c>
      <c r="R16" s="41">
        <f t="shared" si="8"/>
        <v>-90950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156850</v>
      </c>
      <c r="D17" s="30">
        <f>IF(Vendedor14!$E$5="",0,Vendedor14!$E$5)</f>
        <v>1250</v>
      </c>
      <c r="E17" s="181">
        <f>IF(Vendedor14!$C$9="",0,Vendedor14!$C$9)</f>
        <v>70250</v>
      </c>
      <c r="F17" s="30">
        <f>IF(Vendedor14!$E$9="",0,Vendedor14!$E$9)</f>
        <v>1350</v>
      </c>
      <c r="G17" s="181">
        <f>IF(Vendedor14!$C$13="",0,Vendedor14!$C$13)</f>
        <v>79500</v>
      </c>
      <c r="H17" s="30">
        <f>IF(Vendedor14!$E$13="",0,Vendedor14!$E$13)</f>
        <v>900</v>
      </c>
      <c r="I17" s="181">
        <f>IF(Vendedor14!$C$17="",0,Vendedor14!$C$17)</f>
        <v>224150</v>
      </c>
      <c r="J17" s="30">
        <f>IF(Vendedor14!$E$17="",0,Vendedor14!$E$17)</f>
        <v>1700</v>
      </c>
      <c r="L17" s="42">
        <f>C17+E17+G17+I17</f>
        <v>530750</v>
      </c>
      <c r="M17" s="41">
        <f>MROUND(L17*Vendedor14!J$16,50)</f>
        <v>63700</v>
      </c>
      <c r="N17" s="42">
        <f t="shared" si="9"/>
        <v>5200</v>
      </c>
      <c r="O17" s="41">
        <f t="shared" si="3"/>
        <v>442000</v>
      </c>
      <c r="P17" s="42">
        <f>Vendedor14!$F$5+Vendedor14!$F$9+Vendedor14!$F$13+Vendedor14!$F$17</f>
        <v>442000</v>
      </c>
      <c r="R17" s="41">
        <f t="shared" si="8"/>
        <v>25050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43350</v>
      </c>
      <c r="D18" s="30">
        <f>IF(Vendedor15!$E$5="",0,Vendedor15!$E$5)</f>
        <v>100</v>
      </c>
      <c r="E18" s="181">
        <f>IF(Vendedor15!$C$9="",0,Vendedor15!$C$9)</f>
        <v>44650</v>
      </c>
      <c r="F18" s="30">
        <f>IF(Vendedor15!$E$9="",0,Vendedor15!$E$9)</f>
        <v>6900</v>
      </c>
      <c r="G18" s="181">
        <f>IF(Vendedor15!$C$13="",0,Vendedor15!$C$13)</f>
        <v>47450</v>
      </c>
      <c r="H18" s="30">
        <f>IF(Vendedor15!$E$13="",0,Vendedor15!$E$13)</f>
        <v>350</v>
      </c>
      <c r="I18" s="181">
        <f>IF(Vendedor15!$C$17="",0,Vendedor15!$C$17)</f>
        <v>15850</v>
      </c>
      <c r="J18" s="30">
        <f>IF(Vendedor15!$E$17="",0,Vendedor15!$E$17)</f>
        <v>100</v>
      </c>
      <c r="L18" s="42">
        <f t="shared" ref="L18:L27" si="10">C18+E18+G18+I18</f>
        <v>151300</v>
      </c>
      <c r="M18" s="41">
        <f>MROUND(L18*Vendedor15!J$16,50)</f>
        <v>18150</v>
      </c>
      <c r="N18" s="42">
        <f t="shared" si="9"/>
        <v>7450</v>
      </c>
      <c r="O18" s="41">
        <f t="shared" si="3"/>
        <v>633250</v>
      </c>
      <c r="P18" s="42">
        <f>Vendedor15!$F$5+Vendedor15!$F$9+Vendedor15!$F$13+Vendedor15!$F$17</f>
        <v>633250</v>
      </c>
      <c r="R18" s="41">
        <f t="shared" si="8"/>
        <v>-500100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528700</v>
      </c>
      <c r="D32" s="44">
        <f t="shared" si="14"/>
        <v>2400</v>
      </c>
      <c r="E32" s="43">
        <f t="shared" si="14"/>
        <v>299900</v>
      </c>
      <c r="F32" s="44">
        <f t="shared" si="14"/>
        <v>19750</v>
      </c>
      <c r="G32" s="43">
        <f t="shared" si="14"/>
        <v>238900</v>
      </c>
      <c r="H32" s="44">
        <f t="shared" si="14"/>
        <v>2200</v>
      </c>
      <c r="I32" s="43">
        <f t="shared" si="14"/>
        <v>445100</v>
      </c>
      <c r="J32" s="44">
        <f t="shared" si="14"/>
        <v>2700</v>
      </c>
      <c r="L32" s="45">
        <f>SUM(L4:L31)</f>
        <v>1512600</v>
      </c>
      <c r="M32" s="45">
        <f>SUM(M7:M31)</f>
        <v>170650</v>
      </c>
      <c r="N32" s="96">
        <f>SUM(N4:N31)</f>
        <v>27050</v>
      </c>
      <c r="O32" s="46">
        <f>SUM(O4:O31)</f>
        <v>2299250</v>
      </c>
      <c r="P32" s="141">
        <f>SUM(P4:P31)</f>
        <v>2247000</v>
      </c>
      <c r="R32" s="80">
        <f>SUM(R4:R31)</f>
        <v>-969100</v>
      </c>
    </row>
    <row r="33" spans="3:15" x14ac:dyDescent="0.35">
      <c r="D33" s="121">
        <f>+D32*85</f>
        <v>204000</v>
      </c>
      <c r="F33" s="121">
        <f>+F32*85</f>
        <v>1678750</v>
      </c>
      <c r="H33" s="121">
        <f>+H32*85</f>
        <v>187000</v>
      </c>
      <c r="J33" s="121">
        <f>+J32*85</f>
        <v>229500</v>
      </c>
    </row>
    <row r="34" spans="3:15" ht="15" thickBot="1" x14ac:dyDescent="0.4"/>
    <row r="35" spans="3:15" x14ac:dyDescent="0.35">
      <c r="C35" s="270" t="s">
        <v>89</v>
      </c>
      <c r="D35" s="270"/>
      <c r="N35" s="150"/>
      <c r="O35" s="43"/>
    </row>
    <row r="36" spans="3:15" x14ac:dyDescent="0.35">
      <c r="C36" s="47" t="s">
        <v>28</v>
      </c>
      <c r="D36" s="30">
        <f>+C32+E32+G32+I32</f>
        <v>1512600</v>
      </c>
      <c r="E36" s="43">
        <f>+D36-L4-L5-L6</f>
        <v>1421950</v>
      </c>
    </row>
    <row r="37" spans="3:15" x14ac:dyDescent="0.35">
      <c r="C37" s="47" t="s">
        <v>33</v>
      </c>
      <c r="D37" s="48">
        <f>D36*13%</f>
        <v>196638</v>
      </c>
      <c r="E37">
        <f>+D37-M4-M5-M6</f>
        <v>184838</v>
      </c>
    </row>
    <row r="38" spans="3:15" x14ac:dyDescent="0.35">
      <c r="C38" s="47" t="s">
        <v>30</v>
      </c>
      <c r="D38" s="30">
        <f>SUM(O4:O27)</f>
        <v>2299250</v>
      </c>
      <c r="G38" s="101"/>
    </row>
    <row r="39" spans="3:15" ht="15" thickBot="1" x14ac:dyDescent="0.4">
      <c r="C39" s="49" t="s">
        <v>4</v>
      </c>
      <c r="D39" s="81">
        <f>+D36-D37-D38</f>
        <v>-983288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-983288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5" t="s">
        <v>71</v>
      </c>
      <c r="D1" s="276"/>
      <c r="E1" s="275" t="s">
        <v>72</v>
      </c>
      <c r="F1" s="276"/>
      <c r="G1" s="275" t="s">
        <v>73</v>
      </c>
      <c r="H1" s="276"/>
    </row>
    <row r="2" spans="1:17" ht="14.5" customHeight="1" x14ac:dyDescent="0.35">
      <c r="C2" s="271" t="str">
        <f>IF(C33=0,"",CONCATENATE(PREMIOS!$B7," ",PREMIOS!$B8))</f>
        <v>97 Roja</v>
      </c>
      <c r="D2" s="272"/>
      <c r="E2" s="271" t="str">
        <f>IF(E33=0,"",CONCATENATE(PREMIOS!$B11," ",PREMIOS!$B12))</f>
        <v>26 Blanca</v>
      </c>
      <c r="F2" s="272"/>
      <c r="G2" s="271" t="str">
        <f>IF(G33=0,"",CONCATENATE(PREMIOS!$B15," ",PREMIOS!$B16))</f>
        <v>10 Blanca</v>
      </c>
      <c r="H2" s="272"/>
    </row>
    <row r="3" spans="1:17" ht="15" customHeight="1" thickBot="1" x14ac:dyDescent="0.4">
      <c r="C3" s="271"/>
      <c r="D3" s="272"/>
      <c r="E3" s="271"/>
      <c r="F3" s="272"/>
      <c r="G3" s="271"/>
      <c r="H3" s="272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26900</v>
      </c>
      <c r="D10" s="30">
        <f>IF(Vendedor7!$E$8="",0,Vendedor7!$E$8)</f>
        <v>0</v>
      </c>
      <c r="E10" s="181">
        <f>IF(Vendedor7!$C$12="",0,Vendedor7!$C$12)</f>
        <v>19900</v>
      </c>
      <c r="F10" s="30">
        <f>IF(Vendedor7!$E$12="",0,Vendedor7!$E$12)</f>
        <v>1000</v>
      </c>
      <c r="G10" s="181">
        <f>IF(Vendedor7!$C$16="",0,Vendedor7!$C$16)</f>
        <v>22500</v>
      </c>
      <c r="H10" s="30">
        <f>IF(Vendedor7!$E$16="",0,Vendedor7!$E$16)</f>
        <v>3000</v>
      </c>
      <c r="J10" s="42">
        <f t="shared" si="1"/>
        <v>69300</v>
      </c>
      <c r="K10" s="41">
        <f>J10*Vendedor7!J$16</f>
        <v>6930</v>
      </c>
      <c r="L10" s="42">
        <f t="shared" si="2"/>
        <v>0</v>
      </c>
      <c r="M10" s="42">
        <f t="shared" si="3"/>
        <v>4000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62370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1100</v>
      </c>
      <c r="D12" s="30">
        <f>IF(Vendedor9!$E$8="",0,Vendedor9!$E$8)</f>
        <v>0</v>
      </c>
      <c r="E12" s="181">
        <f>IF(Vendedor9!$C$12="",0,Vendedor9!$C$12)</f>
        <v>1700</v>
      </c>
      <c r="F12" s="30">
        <f>IF(Vendedor9!$E$12="",0,Vendedor9!$E$12)</f>
        <v>0</v>
      </c>
      <c r="G12" s="181">
        <f>IF(Vendedor9!$C$16="",0,Vendedor9!$C$16)</f>
        <v>1000</v>
      </c>
      <c r="H12" s="30">
        <f>IF(Vendedor9!$E$16="",0,Vendedor9!$E$16)</f>
        <v>0</v>
      </c>
      <c r="J12" s="42">
        <f t="shared" si="1"/>
        <v>3800</v>
      </c>
      <c r="K12" s="41">
        <f>J12*Vendedor9!J$13</f>
        <v>380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3420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18500</v>
      </c>
      <c r="D17" s="30">
        <f>IF(Vendedor14!$E$8="",0,Vendedor14!$E$8)</f>
        <v>0</v>
      </c>
      <c r="E17" s="181">
        <f>IF(Vendedor14!$C$12="",0,Vendedor14!$C$12)</f>
        <v>9850</v>
      </c>
      <c r="F17" s="30">
        <f>IF(Vendedor14!$E$12="",0,Vendedor14!$E$12)</f>
        <v>0</v>
      </c>
      <c r="G17" s="181">
        <f>IF(Vendedor14!$C$16="",0,Vendedor14!$C$16)</f>
        <v>32000</v>
      </c>
      <c r="H17" s="30">
        <f>IF(Vendedor14!$E$16="",0,Vendedor14!$E$16)</f>
        <v>400</v>
      </c>
      <c r="J17" s="42">
        <f t="shared" si="1"/>
        <v>60350</v>
      </c>
      <c r="K17" s="41">
        <f>J17*Vendedor14!J$17</f>
        <v>6035</v>
      </c>
      <c r="L17" s="42">
        <f t="shared" si="2"/>
        <v>0</v>
      </c>
      <c r="M17" s="42">
        <f t="shared" si="3"/>
        <v>400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54315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16250</v>
      </c>
      <c r="D18" s="30">
        <f>IF(Vendedor15!$E$8="",0,Vendedor15!$E$8)</f>
        <v>0</v>
      </c>
      <c r="E18" s="181">
        <f>IF(Vendedor15!$C$12="",0,Vendedor15!$C$12)</f>
        <v>14750</v>
      </c>
      <c r="F18" s="30">
        <f>IF(Vendedor15!$E$12="",0,Vendedor15!$E$12)</f>
        <v>100</v>
      </c>
      <c r="G18" s="181">
        <f>IF(Vendedor15!$C$16="",0,Vendedor15!$C$16)</f>
        <v>11650</v>
      </c>
      <c r="H18" s="30">
        <f>IF(Vendedor15!$E$16="",0,Vendedor15!$E$16)</f>
        <v>500</v>
      </c>
      <c r="J18" s="42">
        <f t="shared" ref="J18" si="5">+C18+E18+G18</f>
        <v>42650</v>
      </c>
      <c r="K18" s="41">
        <f>J18*Vendedor15!J$17</f>
        <v>4265</v>
      </c>
      <c r="L18" s="42">
        <f t="shared" si="2"/>
        <v>0</v>
      </c>
      <c r="M18" s="42">
        <f t="shared" si="3"/>
        <v>600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38385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62750</v>
      </c>
      <c r="D33" s="44">
        <f>IF(PREMIOS!E8&lt;&gt;0,SUM(D4:D32),0)</f>
        <v>0</v>
      </c>
      <c r="E33" s="43">
        <f>SUM(E4:E32)</f>
        <v>46200</v>
      </c>
      <c r="F33" s="44">
        <f>IF(PREMIOS!E12&lt;&gt;0,SUM(F4:F32),0)</f>
        <v>0</v>
      </c>
      <c r="G33" s="43">
        <f>SUM(G4:G32)</f>
        <v>67150</v>
      </c>
      <c r="H33" s="44">
        <f>IF(PREMIOS!E16&lt;&gt;0,SUM(H4:H32),0)</f>
        <v>0</v>
      </c>
      <c r="J33" s="45">
        <f>SUM(J4:J32)</f>
        <v>176100</v>
      </c>
      <c r="K33" s="45">
        <f>SUM(K7:K32)</f>
        <v>17610</v>
      </c>
      <c r="L33" s="96">
        <f>SUM(L7:L32)</f>
        <v>0</v>
      </c>
      <c r="M33" s="96">
        <f>SUM(M7:M32)</f>
        <v>5000</v>
      </c>
      <c r="N33" s="96">
        <f>SUM(N4:N27)</f>
        <v>0</v>
      </c>
      <c r="O33" s="96">
        <f>SUM(O4:O27)</f>
        <v>0</v>
      </c>
      <c r="Q33" s="80">
        <f>SUM(Q4:Q32)</f>
        <v>158490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7" t="s">
        <v>90</v>
      </c>
      <c r="D36" s="277"/>
      <c r="F36" s="278" t="s">
        <v>94</v>
      </c>
      <c r="G36" s="278" t="s">
        <v>95</v>
      </c>
    </row>
    <row r="37" spans="3:17" ht="14.5" customHeight="1" x14ac:dyDescent="0.35">
      <c r="C37" s="47" t="s">
        <v>28</v>
      </c>
      <c r="D37" s="30">
        <f>+C33+E33+G33</f>
        <v>176100</v>
      </c>
      <c r="E37" s="43">
        <f>+D37-J4-J5-J6</f>
        <v>176100</v>
      </c>
      <c r="F37" s="279"/>
      <c r="G37" s="279"/>
    </row>
    <row r="38" spans="3:17" ht="15" thickBot="1" x14ac:dyDescent="0.4">
      <c r="C38" s="47" t="s">
        <v>33</v>
      </c>
      <c r="D38" s="30">
        <f>D37*10%</f>
        <v>17610</v>
      </c>
      <c r="E38" s="43">
        <f>+D38-K4-K5-K6</f>
        <v>17610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158490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158490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5" t="s">
        <v>113</v>
      </c>
      <c r="D1" s="276"/>
      <c r="E1" s="275" t="s">
        <v>98</v>
      </c>
      <c r="F1" s="276"/>
    </row>
    <row r="2" spans="1:14" ht="14.5" customHeight="1" x14ac:dyDescent="0.35">
      <c r="C2" s="271">
        <f>DigitaPRIMERA!C2</f>
        <v>61</v>
      </c>
      <c r="D2" s="272"/>
      <c r="E2" s="271">
        <f>DigitaPRIMERA!E2</f>
        <v>88</v>
      </c>
      <c r="F2" s="272"/>
    </row>
    <row r="3" spans="1:14" ht="14.5" customHeight="1" thickBot="1" x14ac:dyDescent="0.4">
      <c r="C3" s="271"/>
      <c r="D3" s="272"/>
      <c r="E3" s="271"/>
      <c r="F3" s="272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2000</v>
      </c>
      <c r="D4" s="79">
        <f>IF(Vendedor1!$E$19="",0,Vendedor1!$E$19)</f>
        <v>0</v>
      </c>
      <c r="E4" s="190">
        <f>IF(Vendedor1!$C$20="",0,Vendedor1!$C$20)</f>
        <v>1000</v>
      </c>
      <c r="F4" s="79">
        <f>IF(Vendedor1!$E$20="",0,Vendedor1!$E$20)</f>
        <v>0</v>
      </c>
      <c r="H4" s="42">
        <f>+C4+E4</f>
        <v>3000</v>
      </c>
      <c r="I4" s="41">
        <f>MROUND(H4*Vendedor1!J$9,50)</f>
        <v>400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2600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1200</v>
      </c>
      <c r="D5" s="30">
        <f>IF(Vendedor2!$E$19="",0,Vendedor2!$E$19)</f>
        <v>0</v>
      </c>
      <c r="E5" s="181">
        <f>IF(Vendedor2!$C$20="",0,Vendedor2!$C$20)</f>
        <v>200</v>
      </c>
      <c r="F5" s="30">
        <f>IF(Vendedor2!$E$20="",0,Vendedor2!$E$20)</f>
        <v>0</v>
      </c>
      <c r="H5" s="42">
        <f t="shared" ref="H5:H31" si="1">+C5+E5</f>
        <v>1400</v>
      </c>
      <c r="I5" s="41">
        <f>MROUND(H5*Vendedor2!J$9,50)</f>
        <v>200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1200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15050</v>
      </c>
      <c r="D8" s="30">
        <f>IF(Vendedor5!$E$19="",0,Vendedor5!$E$19)</f>
        <v>0</v>
      </c>
      <c r="E8" s="181">
        <f>IF(Vendedor5!$C$20="",0,Vendedor5!$C$20)</f>
        <v>22250</v>
      </c>
      <c r="F8" s="30">
        <f>IF(Vendedor5!$E$20="",0,Vendedor5!$E$20)</f>
        <v>0</v>
      </c>
      <c r="H8" s="134">
        <f t="shared" si="1"/>
        <v>37300</v>
      </c>
      <c r="I8" s="149">
        <f>MROUND(H8*Vendedor5!J$11,50)</f>
        <v>4500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32800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35150</v>
      </c>
      <c r="D10" s="30">
        <f>IF(Vendedor7!$E$19="",0,Vendedor7!$E$19)</f>
        <v>500</v>
      </c>
      <c r="E10" s="181">
        <f>IF(Vendedor7!$C$20="",0,Vendedor7!$C$20)</f>
        <v>41700</v>
      </c>
      <c r="F10" s="30">
        <f>IF(Vendedor7!$E$20="",0,Vendedor7!$E$20)</f>
        <v>0</v>
      </c>
      <c r="H10" s="42">
        <f t="shared" si="1"/>
        <v>76850</v>
      </c>
      <c r="I10" s="41">
        <f>MROUND(H10*Vendedor7!J$14,50)</f>
        <v>9200</v>
      </c>
      <c r="J10" s="42">
        <f t="shared" si="2"/>
        <v>500</v>
      </c>
      <c r="K10" s="42">
        <f t="shared" si="3"/>
        <v>42500</v>
      </c>
      <c r="L10" s="42">
        <f>Vendedor7!$F$19+Vendedor7!$F$20</f>
        <v>42500</v>
      </c>
      <c r="N10" s="42">
        <f t="shared" si="0"/>
        <v>25150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30400</v>
      </c>
      <c r="D12" s="30">
        <f>IF(Vendedor9!$E$19="",0,Vendedor9!$E$19)</f>
        <v>300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30400</v>
      </c>
      <c r="I12" s="149">
        <f>MROUND(H12*Vendedor9!J$11,50)</f>
        <v>3650</v>
      </c>
      <c r="J12" s="134">
        <f t="shared" si="2"/>
        <v>300</v>
      </c>
      <c r="K12" s="134">
        <f t="shared" si="3"/>
        <v>25500</v>
      </c>
      <c r="L12" s="134">
        <f>Vendedor9!$F$19+Vendedor9!$F$20</f>
        <v>25500</v>
      </c>
      <c r="M12" s="156"/>
      <c r="N12" s="134">
        <f t="shared" si="0"/>
        <v>1250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0</v>
      </c>
      <c r="I16" s="149">
        <f>MROUND(H16*Vendedor13!J$11,50)</f>
        <v>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81600</v>
      </c>
      <c r="D17" s="30">
        <f>IF(Vendedor14!$E$19="",0,Vendedor14!$E$19)</f>
        <v>800</v>
      </c>
      <c r="E17" s="181">
        <f>IF(Vendedor14!$C$20="",0,Vendedor14!$C$20)</f>
        <v>42700</v>
      </c>
      <c r="F17" s="30">
        <f>IF(Vendedor14!$E$20="",0,Vendedor14!$E$20)</f>
        <v>0</v>
      </c>
      <c r="H17" s="42">
        <f t="shared" si="1"/>
        <v>124300</v>
      </c>
      <c r="I17" s="41">
        <f>MROUND(H17*Vendedor14!J$15,50)</f>
        <v>14900</v>
      </c>
      <c r="J17" s="42">
        <f t="shared" si="2"/>
        <v>800</v>
      </c>
      <c r="K17" s="42">
        <f t="shared" si="3"/>
        <v>68000</v>
      </c>
      <c r="L17" s="42">
        <f>Vendedor14!$F$19+Vendedor14!$F$20</f>
        <v>68000</v>
      </c>
      <c r="N17" s="42">
        <f t="shared" si="0"/>
        <v>41400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29950</v>
      </c>
      <c r="D18" s="30">
        <f>IF(Vendedor15!$E$19="",0,Vendedor15!$E$19)</f>
        <v>1000</v>
      </c>
      <c r="E18" s="181">
        <f>IF(Vendedor15!$C$20="",0,Vendedor15!$C$20)</f>
        <v>29700</v>
      </c>
      <c r="F18" s="30">
        <f>IF(Vendedor15!$E$20="",0,Vendedor15!$E$20)</f>
        <v>100</v>
      </c>
      <c r="H18" s="42">
        <f t="shared" si="1"/>
        <v>59650</v>
      </c>
      <c r="I18" s="41">
        <f>MROUND(H18*Vendedor15!J$15,50)</f>
        <v>7150</v>
      </c>
      <c r="J18" s="42">
        <f t="shared" si="2"/>
        <v>1100</v>
      </c>
      <c r="K18" s="42">
        <f t="shared" si="3"/>
        <v>93500</v>
      </c>
      <c r="L18" s="42">
        <f>Vendedor15!$F$19+Vendedor15!$F$20</f>
        <v>93500</v>
      </c>
      <c r="N18" s="42">
        <f t="shared" si="0"/>
        <v>-41000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195350</v>
      </c>
      <c r="D32" s="44">
        <f>SUM(D4:D31)</f>
        <v>2600</v>
      </c>
      <c r="E32" s="43">
        <f>SUM(E4:E31)</f>
        <v>137550</v>
      </c>
      <c r="F32" s="44">
        <f>SUM(F4:F31)</f>
        <v>100</v>
      </c>
      <c r="H32" s="96">
        <f>SUM(H4:H31)</f>
        <v>332900</v>
      </c>
      <c r="I32" s="45">
        <f>SUM(I7:I31)</f>
        <v>39400</v>
      </c>
      <c r="J32" s="96"/>
      <c r="K32" s="96">
        <f>SUM(K4:K31)</f>
        <v>229500</v>
      </c>
      <c r="L32" s="96">
        <f>SUM(L4:L31)</f>
        <v>229500</v>
      </c>
      <c r="N32" s="80">
        <f>SUM(N4:N31)</f>
        <v>63400</v>
      </c>
    </row>
    <row r="33" spans="3:6" x14ac:dyDescent="0.35">
      <c r="D33" s="100">
        <f>+D32*85</f>
        <v>221000</v>
      </c>
      <c r="F33" s="100">
        <f>+F32*85</f>
        <v>8500</v>
      </c>
    </row>
    <row r="34" spans="3:6" ht="15" thickBot="1" x14ac:dyDescent="0.4"/>
    <row r="35" spans="3:6" x14ac:dyDescent="0.35">
      <c r="C35" s="270" t="s">
        <v>89</v>
      </c>
      <c r="D35" s="270"/>
    </row>
    <row r="36" spans="3:6" x14ac:dyDescent="0.35">
      <c r="C36" s="47" t="s">
        <v>28</v>
      </c>
      <c r="D36" s="30">
        <f>+C32+E32</f>
        <v>332900</v>
      </c>
      <c r="E36" s="43">
        <f>+D36-H4-H5-H6</f>
        <v>328500</v>
      </c>
    </row>
    <row r="37" spans="3:6" x14ac:dyDescent="0.35">
      <c r="C37" s="47" t="s">
        <v>33</v>
      </c>
      <c r="D37" s="48">
        <f>D36*13%</f>
        <v>43277</v>
      </c>
      <c r="E37">
        <f>+D37-I4-I5-I6</f>
        <v>42677</v>
      </c>
    </row>
    <row r="38" spans="3:6" ht="15" thickBot="1" x14ac:dyDescent="0.4">
      <c r="C38" s="47" t="s">
        <v>30</v>
      </c>
      <c r="D38" s="30">
        <f>SUM(K4:K27)</f>
        <v>229500</v>
      </c>
    </row>
    <row r="39" spans="3:6" ht="15" thickBot="1" x14ac:dyDescent="0.4">
      <c r="C39" s="49" t="s">
        <v>4</v>
      </c>
      <c r="D39" s="81">
        <f>+D36-D37-D38</f>
        <v>60123</v>
      </c>
      <c r="F39" s="99">
        <f>+N32-D39</f>
        <v>3277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60123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5" t="s">
        <v>132</v>
      </c>
      <c r="D1" s="276"/>
      <c r="E1" s="275" t="s">
        <v>133</v>
      </c>
      <c r="F1" s="276"/>
      <c r="G1" s="275" t="s">
        <v>134</v>
      </c>
      <c r="H1" s="276"/>
    </row>
    <row r="2" spans="1:16" x14ac:dyDescent="0.35">
      <c r="C2" s="271">
        <f>DigitaHONDURAS!C2</f>
        <v>60</v>
      </c>
      <c r="D2" s="272"/>
      <c r="E2" s="271">
        <f>DigitaHONDURAS!E2</f>
        <v>36</v>
      </c>
      <c r="F2" s="272"/>
      <c r="G2" s="271">
        <f>DigitaHONDURAS!G2</f>
        <v>29</v>
      </c>
      <c r="H2" s="272"/>
    </row>
    <row r="3" spans="1:16" x14ac:dyDescent="0.35">
      <c r="C3" s="273"/>
      <c r="D3" s="274"/>
      <c r="E3" s="273"/>
      <c r="F3" s="274"/>
      <c r="G3" s="273"/>
      <c r="H3" s="274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14750</v>
      </c>
      <c r="D10" s="30">
        <f>IF(Vendedor7!$E$21="",0,Vendedor7!$E$21)</f>
        <v>0</v>
      </c>
      <c r="E10" s="181">
        <f>IF(Vendedor7!$C$22="",0,Vendedor7!$C$22)</f>
        <v>13050</v>
      </c>
      <c r="F10" s="30">
        <f>IF(Vendedor7!$E$22="",0,Vendedor7!$E$22)</f>
        <v>0</v>
      </c>
      <c r="G10" s="181">
        <f>IF(Vendedor7!$C$23="",0,Vendedor7!$C$23)</f>
        <v>10700</v>
      </c>
      <c r="H10" s="30">
        <f>IF(Vendedor7!$E$23="",0,Vendedor7!$E$23)</f>
        <v>100</v>
      </c>
      <c r="J10" s="42">
        <f t="shared" si="0"/>
        <v>38500</v>
      </c>
      <c r="K10" s="41">
        <f>MROUND(J10*Vendedor7!J$14,50)</f>
        <v>4600</v>
      </c>
      <c r="L10" s="42">
        <f t="shared" si="1"/>
        <v>100</v>
      </c>
      <c r="M10" s="42">
        <f t="shared" si="3"/>
        <v>8500</v>
      </c>
      <c r="N10" s="42">
        <f>Vendedor7!$F$21+Vendedor7!$F$22+Vendedor7!$F$23</f>
        <v>8500</v>
      </c>
      <c r="P10" s="42">
        <f t="shared" si="2"/>
        <v>25400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79600</v>
      </c>
      <c r="D17" s="30">
        <f>IF(Vendedor14!$E$21="",0,Vendedor14!$E$21)</f>
        <v>1100</v>
      </c>
      <c r="E17" s="181">
        <f>IF(Vendedor14!$C$22="",0,Vendedor14!$C$22)</f>
        <v>14500</v>
      </c>
      <c r="F17" s="30">
        <f>IF(Vendedor14!$E$22="",0,Vendedor14!$E$22)</f>
        <v>0</v>
      </c>
      <c r="G17" s="181">
        <f>IF(Vendedor14!$C$23="",0,Vendedor14!$C$23)</f>
        <v>37500</v>
      </c>
      <c r="H17" s="30">
        <f>IF(Vendedor14!$E$23="",0,Vendedor14!$E$23)</f>
        <v>250</v>
      </c>
      <c r="J17" s="42">
        <f t="shared" si="0"/>
        <v>131600</v>
      </c>
      <c r="K17" s="41">
        <f>MROUND(J17*Vendedor14!J$15,50)</f>
        <v>15800</v>
      </c>
      <c r="L17" s="42">
        <f t="shared" si="1"/>
        <v>1350</v>
      </c>
      <c r="M17" s="42">
        <f t="shared" si="3"/>
        <v>114750</v>
      </c>
      <c r="N17" s="42">
        <f>Vendedor14!$F$21+Vendedor14!$F$22+Vendedor14!$F$23</f>
        <v>114750</v>
      </c>
      <c r="P17" s="42">
        <f t="shared" si="2"/>
        <v>1050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19250</v>
      </c>
      <c r="D18" s="30">
        <f>IF(Vendedor15!$E$21="",0,Vendedor15!$E$21)</f>
        <v>150</v>
      </c>
      <c r="E18" s="181">
        <f>IF(Vendedor15!$C$22="",0,Vendedor15!$C$22)</f>
        <v>3700</v>
      </c>
      <c r="F18" s="30">
        <f>IF(Vendedor15!$E$22="",0,Vendedor15!$E$22)</f>
        <v>0</v>
      </c>
      <c r="G18" s="181">
        <f>IF(Vendedor15!$C$23="",0,Vendedor15!$C$23)</f>
        <v>1200</v>
      </c>
      <c r="H18" s="30">
        <f>IF(Vendedor15!$E$23="",0,Vendedor15!$E$23)</f>
        <v>0</v>
      </c>
      <c r="J18" s="42">
        <f t="shared" si="0"/>
        <v>24150</v>
      </c>
      <c r="K18" s="41">
        <f>MROUND(J18*Vendedor15!J$15,50)</f>
        <v>2900</v>
      </c>
      <c r="L18" s="42">
        <f t="shared" si="1"/>
        <v>150</v>
      </c>
      <c r="M18" s="42">
        <f t="shared" si="3"/>
        <v>12750</v>
      </c>
      <c r="N18" s="42">
        <f>Vendedor15!$F$21+Vendedor15!$F$22+Vendedor15!$F$23</f>
        <v>12750</v>
      </c>
      <c r="P18" s="42">
        <f t="shared" si="2"/>
        <v>8500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113600</v>
      </c>
      <c r="D32" s="44">
        <f t="shared" si="8"/>
        <v>1250</v>
      </c>
      <c r="E32" s="43">
        <f t="shared" si="8"/>
        <v>31250</v>
      </c>
      <c r="F32" s="44">
        <f t="shared" si="8"/>
        <v>0</v>
      </c>
      <c r="G32" s="43">
        <f t="shared" si="8"/>
        <v>49400</v>
      </c>
      <c r="H32" s="44">
        <f t="shared" si="8"/>
        <v>350</v>
      </c>
      <c r="J32" s="96">
        <f>SUM(J4:J31)</f>
        <v>194250</v>
      </c>
      <c r="K32" s="45">
        <f>SUM(K7:K31)</f>
        <v>23300</v>
      </c>
      <c r="L32" s="96"/>
      <c r="M32" s="96">
        <f>SUM(M4:M31)</f>
        <v>136000</v>
      </c>
      <c r="N32" s="96">
        <f>SUM(N4:N31)</f>
        <v>136000</v>
      </c>
      <c r="P32" s="80">
        <f>SUM(P4:P31)</f>
        <v>34950</v>
      </c>
    </row>
    <row r="33" spans="3:8" x14ac:dyDescent="0.35">
      <c r="D33" s="100">
        <f>+D32*85</f>
        <v>106250</v>
      </c>
      <c r="F33" s="100">
        <f>+F32*85</f>
        <v>0</v>
      </c>
      <c r="H33" s="100">
        <f>+H32*85</f>
        <v>29750</v>
      </c>
    </row>
    <row r="34" spans="3:8" ht="15" thickBot="1" x14ac:dyDescent="0.4"/>
    <row r="35" spans="3:8" x14ac:dyDescent="0.35">
      <c r="C35" s="270" t="s">
        <v>89</v>
      </c>
      <c r="D35" s="270"/>
    </row>
    <row r="36" spans="3:8" x14ac:dyDescent="0.35">
      <c r="C36" s="47" t="s">
        <v>28</v>
      </c>
      <c r="D36" s="30">
        <f>+C32+E32+G32</f>
        <v>194250</v>
      </c>
      <c r="E36" s="43">
        <f>+D36-J4-J5-J6</f>
        <v>194250</v>
      </c>
    </row>
    <row r="37" spans="3:8" x14ac:dyDescent="0.35">
      <c r="C37" s="47" t="s">
        <v>33</v>
      </c>
      <c r="D37" s="48">
        <f>D36*13%</f>
        <v>25252.5</v>
      </c>
      <c r="E37">
        <f>+D37-K4-K5-K6</f>
        <v>25252.5</v>
      </c>
    </row>
    <row r="38" spans="3:8" ht="15" thickBot="1" x14ac:dyDescent="0.4">
      <c r="C38" s="47" t="s">
        <v>30</v>
      </c>
      <c r="D38" s="30">
        <f>SUM(M4:M27)</f>
        <v>136000</v>
      </c>
      <c r="G38" s="101"/>
    </row>
    <row r="39" spans="3:8" ht="15" thickBot="1" x14ac:dyDescent="0.4">
      <c r="C39" s="49" t="s">
        <v>4</v>
      </c>
      <c r="D39" s="81">
        <f>+D36-D37-D38</f>
        <v>32997.5</v>
      </c>
      <c r="F39" s="99">
        <f>+P32-D39</f>
        <v>1952.5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32997.5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5" t="s">
        <v>114</v>
      </c>
      <c r="D1" s="276"/>
      <c r="E1" s="275" t="s">
        <v>115</v>
      </c>
      <c r="F1" s="276"/>
    </row>
    <row r="2" spans="1:14" x14ac:dyDescent="0.35">
      <c r="C2" s="271">
        <f>DigitaDOMINICANA!C2</f>
        <v>44</v>
      </c>
      <c r="D2" s="272"/>
      <c r="E2" s="271">
        <f>DigitaDOMINICANA!E2</f>
        <v>28</v>
      </c>
      <c r="F2" s="272"/>
    </row>
    <row r="3" spans="1:14" ht="15" thickBot="1" x14ac:dyDescent="0.4">
      <c r="C3" s="271"/>
      <c r="D3" s="272"/>
      <c r="E3" s="271"/>
      <c r="F3" s="272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76500</v>
      </c>
      <c r="D10" s="30">
        <f>IF(Vendedor7!$E$24="",0,Vendedor7!$E$24)</f>
        <v>0</v>
      </c>
      <c r="E10" s="181">
        <f>IF(Vendedor7!$C$25="",0,Vendedor7!$C$25)</f>
        <v>74250</v>
      </c>
      <c r="F10" s="30">
        <f>IF(Vendedor7!$E$25="",0,Vendedor7!$E$25)</f>
        <v>3000</v>
      </c>
      <c r="H10" s="42">
        <f t="shared" si="1"/>
        <v>150750</v>
      </c>
      <c r="I10" s="41">
        <f>MROUND(H10*Vendedor7!J$14,50)</f>
        <v>18100</v>
      </c>
      <c r="J10" s="42">
        <f t="shared" si="2"/>
        <v>3000</v>
      </c>
      <c r="K10" s="42">
        <f t="shared" si="3"/>
        <v>255000</v>
      </c>
      <c r="L10" s="42">
        <f>Vendedor7!$F$24+Vendedor7!$F$25</f>
        <v>255000</v>
      </c>
      <c r="N10" s="42">
        <f t="shared" si="0"/>
        <v>-122350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76500</v>
      </c>
      <c r="D32" s="44">
        <f>SUM(D4:D31)</f>
        <v>0</v>
      </c>
      <c r="E32" s="43">
        <f>SUM(E4:E31)</f>
        <v>74250</v>
      </c>
      <c r="F32" s="44">
        <f>SUM(F4:F31)</f>
        <v>3000</v>
      </c>
      <c r="H32" s="96">
        <f>SUM(H4:H31)</f>
        <v>150750</v>
      </c>
      <c r="I32" s="45">
        <f>SUM(I7:I31)</f>
        <v>18100</v>
      </c>
      <c r="J32" s="96"/>
      <c r="K32" s="96">
        <f>SUM(K4:K31)</f>
        <v>255000</v>
      </c>
      <c r="L32" s="96">
        <f>SUM(L4:L31)</f>
        <v>255000</v>
      </c>
      <c r="N32" s="80">
        <f>SUM(N4:N31)</f>
        <v>-122350</v>
      </c>
    </row>
    <row r="33" spans="3:6" x14ac:dyDescent="0.35">
      <c r="D33" s="100">
        <f>+D32*85</f>
        <v>0</v>
      </c>
      <c r="F33" s="100">
        <f>+F32*85</f>
        <v>255000</v>
      </c>
    </row>
    <row r="34" spans="3:6" ht="15" thickBot="1" x14ac:dyDescent="0.4"/>
    <row r="35" spans="3:6" x14ac:dyDescent="0.35">
      <c r="C35" s="270" t="s">
        <v>89</v>
      </c>
      <c r="D35" s="270"/>
    </row>
    <row r="36" spans="3:6" x14ac:dyDescent="0.35">
      <c r="C36" s="47" t="s">
        <v>28</v>
      </c>
      <c r="D36" s="30">
        <f>+C32+E32</f>
        <v>150750</v>
      </c>
      <c r="E36" s="43">
        <f>+D36-H4-H5-H6</f>
        <v>150750</v>
      </c>
    </row>
    <row r="37" spans="3:6" x14ac:dyDescent="0.35">
      <c r="C37" s="47" t="s">
        <v>33</v>
      </c>
      <c r="D37" s="48">
        <f>D36*13%</f>
        <v>19597.5</v>
      </c>
      <c r="E37">
        <f>+D37-I4-I5-I6</f>
        <v>19597.5</v>
      </c>
    </row>
    <row r="38" spans="3:6" ht="15" thickBot="1" x14ac:dyDescent="0.4">
      <c r="C38" s="47" t="s">
        <v>30</v>
      </c>
      <c r="D38" s="30">
        <f>SUM(K4:K27)</f>
        <v>255000</v>
      </c>
    </row>
    <row r="39" spans="3:6" ht="15" thickBot="1" x14ac:dyDescent="0.4">
      <c r="C39" s="49" t="s">
        <v>4</v>
      </c>
      <c r="D39" s="81">
        <f>+D36-D37-D38</f>
        <v>-123847.5</v>
      </c>
      <c r="F39" s="99">
        <f>+N32-D39</f>
        <v>1497.5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-123847.5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5" t="s">
        <v>109</v>
      </c>
      <c r="D1" s="276"/>
    </row>
    <row r="2" spans="1:12" x14ac:dyDescent="0.35">
      <c r="C2" s="271" t="str">
        <f>DigitaPANAMENA!C2</f>
        <v/>
      </c>
      <c r="D2" s="272"/>
    </row>
    <row r="3" spans="1:12" ht="15" thickBot="1" x14ac:dyDescent="0.4">
      <c r="C3" s="271"/>
      <c r="D3" s="272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70" t="s">
        <v>89</v>
      </c>
      <c r="D35" s="270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80" t="str">
        <f ca="1">CONCATENATE("Cuentas ALI ",TEXT('Ctas Banca'!I5,"dd-mm-yyyy"))</f>
        <v>Cuentas ALI 22-01-2026</v>
      </c>
      <c r="B1" s="280"/>
      <c r="C1" s="280"/>
      <c r="D1" s="280"/>
      <c r="E1" s="280"/>
      <c r="F1" s="280"/>
      <c r="G1" s="280"/>
      <c r="H1" s="21"/>
      <c r="I1" s="21"/>
    </row>
    <row r="2" spans="1:9" ht="15" thickBot="1" x14ac:dyDescent="0.4">
      <c r="A2" s="281" t="s">
        <v>137</v>
      </c>
      <c r="B2" s="281"/>
      <c r="C2" s="281"/>
      <c r="D2" s="281"/>
      <c r="E2" s="281"/>
      <c r="F2" s="281"/>
      <c r="G2" s="281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1421950</v>
      </c>
      <c r="C4" s="158">
        <f>HojaNICA!M32</f>
        <v>170650</v>
      </c>
      <c r="D4" s="151">
        <f>HojaNICA!E37</f>
        <v>184838</v>
      </c>
      <c r="E4" s="151">
        <f>HojaNICA!P32</f>
        <v>2247000</v>
      </c>
      <c r="F4" s="151">
        <f>HojaNICA!O32</f>
        <v>2299250</v>
      </c>
      <c r="G4" s="152">
        <f t="shared" ref="G4:G10" si="0">+D4-C4+F4-E4</f>
        <v>66438</v>
      </c>
      <c r="H4" s="21"/>
      <c r="I4" s="183"/>
    </row>
    <row r="5" spans="1:9" x14ac:dyDescent="0.35">
      <c r="A5" s="28" t="s">
        <v>19</v>
      </c>
      <c r="B5" s="157">
        <f>HojaTICA!$E$36</f>
        <v>1583620</v>
      </c>
      <c r="C5" s="158">
        <f>HojaTICA!K32</f>
        <v>192750</v>
      </c>
      <c r="D5" s="151">
        <f>HojaTICA!E37</f>
        <v>205857.1</v>
      </c>
      <c r="E5" s="151">
        <f>HojaTICA!N32</f>
        <v>2429500</v>
      </c>
      <c r="F5" s="151">
        <f>HojaTICA!D38</f>
        <v>2439500</v>
      </c>
      <c r="G5" s="152">
        <f t="shared" si="0"/>
        <v>23107.100000000093</v>
      </c>
      <c r="H5" s="21"/>
      <c r="I5" s="183"/>
    </row>
    <row r="6" spans="1:9" x14ac:dyDescent="0.35">
      <c r="A6" s="28" t="s">
        <v>125</v>
      </c>
      <c r="B6" s="157">
        <f>HojaREVENTADO!$E$37</f>
        <v>176100</v>
      </c>
      <c r="C6" s="158">
        <f>HojaREVENTADO!K33</f>
        <v>17610</v>
      </c>
      <c r="D6" s="151">
        <f>HojaREVENTADO!E38</f>
        <v>17610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328500</v>
      </c>
      <c r="C7" s="158">
        <f>HojaPrimera!I32</f>
        <v>39400</v>
      </c>
      <c r="D7" s="151">
        <f>HojaPrimera!E37</f>
        <v>42677</v>
      </c>
      <c r="E7" s="151">
        <f>HojaPrimera!L32</f>
        <v>229500</v>
      </c>
      <c r="F7" s="151">
        <f>HojaPrimera!K32</f>
        <v>229500</v>
      </c>
      <c r="G7" s="152">
        <f t="shared" si="0"/>
        <v>3277</v>
      </c>
      <c r="H7" s="21"/>
      <c r="I7" s="21"/>
    </row>
    <row r="8" spans="1:9" x14ac:dyDescent="0.35">
      <c r="A8" s="28" t="s">
        <v>104</v>
      </c>
      <c r="B8" s="157">
        <f>HojaHonduras!$E$36</f>
        <v>194250</v>
      </c>
      <c r="C8" s="158">
        <f>HojaHonduras!K32</f>
        <v>23300</v>
      </c>
      <c r="D8" s="151">
        <f>HojaHonduras!E37</f>
        <v>25252.5</v>
      </c>
      <c r="E8" s="151">
        <f>HojaHonduras!N32</f>
        <v>136000</v>
      </c>
      <c r="F8" s="151">
        <f>HojaHonduras!M32</f>
        <v>136000</v>
      </c>
      <c r="G8" s="152">
        <f t="shared" si="0"/>
        <v>1952.5</v>
      </c>
      <c r="H8" s="21"/>
      <c r="I8" s="21"/>
    </row>
    <row r="9" spans="1:9" x14ac:dyDescent="0.35">
      <c r="A9" s="28" t="s">
        <v>20</v>
      </c>
      <c r="B9" s="157">
        <f>HojaDominicana!$E$36</f>
        <v>150750</v>
      </c>
      <c r="C9" s="158">
        <f>HojaDominicana!I32</f>
        <v>18100</v>
      </c>
      <c r="D9" s="151">
        <f>HojaDominicana!E37</f>
        <v>19597.5</v>
      </c>
      <c r="E9" s="151">
        <f>HojaDominicana!L32</f>
        <v>255000</v>
      </c>
      <c r="F9" s="151">
        <f>HojaDominicana!K32</f>
        <v>255000</v>
      </c>
      <c r="G9" s="152">
        <f t="shared" si="0"/>
        <v>1497.5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3855170</v>
      </c>
      <c r="C11" s="176">
        <f>SUM(C4:C10)</f>
        <v>461810</v>
      </c>
      <c r="D11" s="176">
        <f t="shared" ref="D11:F11" si="1">SUM(D4:D10)</f>
        <v>495832.1</v>
      </c>
      <c r="E11" s="176">
        <f t="shared" si="1"/>
        <v>5297000</v>
      </c>
      <c r="F11" s="176">
        <f t="shared" si="1"/>
        <v>5359250</v>
      </c>
      <c r="G11" s="177">
        <f>SUM(G4:G10)</f>
        <v>96272.100000000093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61272.100000000093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81" t="s">
        <v>136</v>
      </c>
      <c r="D14" s="281"/>
      <c r="E14" s="281"/>
      <c r="F14" s="281"/>
      <c r="G14" s="281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234700</v>
      </c>
      <c r="E16" s="158">
        <f>+Vendedor1!D21</f>
        <v>30511</v>
      </c>
      <c r="F16" s="159">
        <f>IF(D16&lt;&gt;0,15000,0)</f>
        <v>15000</v>
      </c>
      <c r="G16" s="152">
        <f>+E16-F16</f>
        <v>15511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181400</v>
      </c>
      <c r="E17" s="158">
        <f>+Vendedor2!D21</f>
        <v>23582</v>
      </c>
      <c r="F17" s="159">
        <f>IF(D17&lt;&gt;0,15000,0)</f>
        <v>15000</v>
      </c>
      <c r="G17" s="152">
        <f>+E17-F17</f>
        <v>8582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416100</v>
      </c>
      <c r="E19" s="160">
        <f>SUM(E16:E18)</f>
        <v>54093</v>
      </c>
      <c r="F19" s="161">
        <f>SUM(F16:F18)</f>
        <v>30000</v>
      </c>
      <c r="G19" s="162">
        <f>SUM(G16:G18)</f>
        <v>24093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24330</v>
      </c>
      <c r="E22" s="158">
        <f>-Vendedor24!D27</f>
        <v>2919.6</v>
      </c>
      <c r="F22" s="159">
        <f>-Vendedor24!F27</f>
        <v>0</v>
      </c>
      <c r="G22" s="152">
        <f>+D22-E22-F22</f>
        <v>21410.400000000001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106775.50000000009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82" t="str">
        <f ca="1">CONCATENATE("Tiempos Pana ",TEXT(I5,"dd-mm-yyyy"))</f>
        <v>Tiempos Pana 22-01-2026</v>
      </c>
      <c r="B2" s="282"/>
      <c r="C2" s="282"/>
      <c r="D2" s="282"/>
      <c r="E2" s="282"/>
      <c r="F2" s="282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1512600</v>
      </c>
      <c r="C5" s="151">
        <f>HojaNICA!D37</f>
        <v>196638</v>
      </c>
      <c r="D5" s="151">
        <f>HojaNICA!D38</f>
        <v>2299250</v>
      </c>
      <c r="E5" s="151"/>
      <c r="F5" s="152">
        <f>+B5-C5-D5+E5</f>
        <v>-983288</v>
      </c>
      <c r="H5" s="251" t="s">
        <v>105</v>
      </c>
      <c r="I5" s="245">
        <f ca="1">TODAY()-1</f>
        <v>46044</v>
      </c>
      <c r="O5" s="120"/>
    </row>
    <row r="6" spans="1:15" ht="15" thickBot="1" x14ac:dyDescent="0.4">
      <c r="A6" s="47" t="s">
        <v>36</v>
      </c>
      <c r="B6" s="151">
        <f>HojaTICA!D36</f>
        <v>1904670</v>
      </c>
      <c r="C6" s="151">
        <f>HojaTICA!D37</f>
        <v>247607.1</v>
      </c>
      <c r="D6" s="151">
        <f>HojaTICA!D38</f>
        <v>2439500</v>
      </c>
      <c r="E6" s="151"/>
      <c r="F6" s="152">
        <f t="shared" ref="F6:F11" si="0">+B6-C6-D6+E6</f>
        <v>-782437.10000000009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176100</v>
      </c>
      <c r="C7" s="151">
        <f>HojaREVENTADO!D38</f>
        <v>17610</v>
      </c>
      <c r="D7" s="151">
        <f>HojaREVENTADO!D39</f>
        <v>0</v>
      </c>
      <c r="E7" s="151"/>
      <c r="F7" s="152">
        <f t="shared" si="0"/>
        <v>158490</v>
      </c>
    </row>
    <row r="8" spans="1:15" x14ac:dyDescent="0.35">
      <c r="A8" s="47" t="s">
        <v>96</v>
      </c>
      <c r="B8" s="151">
        <f>HojaPrimera!$D36</f>
        <v>332900</v>
      </c>
      <c r="C8" s="151">
        <f>HojaPrimera!$D37</f>
        <v>43277</v>
      </c>
      <c r="D8" s="151">
        <f>HojaPrimera!$D38</f>
        <v>229500</v>
      </c>
      <c r="E8" s="151"/>
      <c r="F8" s="152">
        <f t="shared" si="0"/>
        <v>60123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194250</v>
      </c>
      <c r="C9" s="151">
        <f>HojaHonduras!$D37</f>
        <v>25252.5</v>
      </c>
      <c r="D9" s="151">
        <f>HojaHonduras!$D38</f>
        <v>136000</v>
      </c>
      <c r="E9" s="151"/>
      <c r="F9" s="152">
        <f t="shared" si="0"/>
        <v>32997.5</v>
      </c>
      <c r="H9" s="252">
        <f>+K12-K10-H6</f>
        <v>-1637966.4499999993</v>
      </c>
    </row>
    <row r="10" spans="1:15" ht="15" thickBot="1" x14ac:dyDescent="0.4">
      <c r="A10" s="47" t="s">
        <v>20</v>
      </c>
      <c r="B10" s="151">
        <f>HojaDominicana!$D36</f>
        <v>150750</v>
      </c>
      <c r="C10" s="151">
        <f>HojaDominicana!$D37</f>
        <v>19597.5</v>
      </c>
      <c r="D10" s="151">
        <f>HojaDominicana!$D38</f>
        <v>255000</v>
      </c>
      <c r="E10" s="151"/>
      <c r="F10" s="152">
        <f t="shared" si="0"/>
        <v>-123847.5</v>
      </c>
      <c r="H10" s="155"/>
      <c r="J10" t="s">
        <v>148</v>
      </c>
      <c r="K10" s="254">
        <v>6576079.9399999995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4938117.84</v>
      </c>
    </row>
    <row r="12" spans="1:15" ht="16" thickBot="1" x14ac:dyDescent="0.4">
      <c r="A12" s="145" t="s">
        <v>5</v>
      </c>
      <c r="B12" s="153">
        <f>SUM(B5:B11)</f>
        <v>4271270</v>
      </c>
      <c r="C12" s="153">
        <f>SUM(C5:C11)</f>
        <v>549982.1</v>
      </c>
      <c r="D12" s="153">
        <f>SUM(D5:D11)</f>
        <v>5359250</v>
      </c>
      <c r="E12" s="153"/>
      <c r="F12" s="257">
        <f>SUM(F5:F11)</f>
        <v>-1637962.1</v>
      </c>
      <c r="H12" s="253">
        <f>K12</f>
        <v>4938113.49</v>
      </c>
      <c r="J12" t="s">
        <v>140</v>
      </c>
      <c r="K12" s="256">
        <f>-3591772.53+2571057.64+3256678.6+2702149.78</f>
        <v>4938113.49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VENTANA</v>
      </c>
      <c r="C2" s="284"/>
      <c r="D2" s="285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161350</v>
      </c>
      <c r="K4" s="233">
        <f t="shared" ref="K4" si="0">D7+D11+D15</f>
        <v>20975.5</v>
      </c>
      <c r="L4" s="222">
        <f>F7+F11+F15</f>
        <v>114750</v>
      </c>
    </row>
    <row r="5" spans="1:12" x14ac:dyDescent="0.35">
      <c r="A5" s="28" t="s">
        <v>43</v>
      </c>
      <c r="B5" s="133">
        <f>IF(DigitaNICA!C2&lt;&gt;"",DigitaNICA!C2,"")</f>
        <v>63</v>
      </c>
      <c r="C5" s="29">
        <f>IF(DigitaNICA!C4&lt;&gt;"",DigitaNICA!C4,"")</f>
        <v>44100</v>
      </c>
      <c r="D5" s="42">
        <f>IF(C5="",0,C5*J$10)</f>
        <v>5733</v>
      </c>
      <c r="E5" s="29">
        <f>IF(DigitaNICA!D4&lt;&gt;"",DigitaNICA!D4,"")</f>
        <v>350</v>
      </c>
      <c r="F5" s="42">
        <f>IF(E5="",0,E5*PREMIOS!E5)</f>
        <v>28000</v>
      </c>
      <c r="G5" s="30">
        <f t="shared" ref="G5:G12" si="1">IF(OR(C5="",E5=""),0,C5-D5-F5)</f>
        <v>10367</v>
      </c>
      <c r="I5" s="243" t="s">
        <v>37</v>
      </c>
      <c r="J5" s="223">
        <f>SUM(IF(C5="",0,C5),IF(C9="",0,C9),IF(C13="",0,C13),IF(C17="",0,C17))</f>
        <v>70350</v>
      </c>
      <c r="K5" s="227">
        <f t="shared" ref="K5" si="2">D5+D9+D13+D17</f>
        <v>9145.5</v>
      </c>
      <c r="L5" s="224">
        <f>F5+F9+F13+F17</f>
        <v>104000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3000</v>
      </c>
      <c r="K6" s="230">
        <f>D19+D20</f>
        <v>390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>
        <f>IF(DigitaTICA!C4&lt;&gt;"",DigitaTICA!C4,"")</f>
        <v>72350</v>
      </c>
      <c r="D7" s="42">
        <f>IF(C7="",0,C7*J$9)</f>
        <v>9405.5</v>
      </c>
      <c r="E7" s="29">
        <f>IF(DigitaTICA!D4&lt;&gt;"",DigitaTICA!D4,"")</f>
        <v>300</v>
      </c>
      <c r="F7" s="42">
        <f>IF(E7="",0,E7*PREMIOS!F7)</f>
        <v>25500</v>
      </c>
      <c r="G7" s="30">
        <f t="shared" si="1"/>
        <v>37444.5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12</v>
      </c>
      <c r="C9" s="29">
        <f>IF(DigitaNICA!E4&lt;&gt;"",DigitaNICA!E4,"")</f>
        <v>19600</v>
      </c>
      <c r="D9" s="42">
        <f>IF(C9="",0,C9*J$10)</f>
        <v>2548</v>
      </c>
      <c r="E9" s="29">
        <f>IF(DigitaNICA!F4&lt;&gt;"",DigitaNICA!F4,"")</f>
        <v>950</v>
      </c>
      <c r="F9" s="42">
        <f>IF(E9="",0,E9*PREMIOS!E9)</f>
        <v>76000</v>
      </c>
      <c r="G9" s="30">
        <f t="shared" si="1"/>
        <v>-58948</v>
      </c>
      <c r="I9" s="77" t="s">
        <v>36</v>
      </c>
      <c r="J9" s="78">
        <v>0.13</v>
      </c>
      <c r="K9" s="79">
        <f>MROUND(D7+D11+D15,50)</f>
        <v>21000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9150</v>
      </c>
    </row>
    <row r="11" spans="1:12" x14ac:dyDescent="0.35">
      <c r="A11" s="28" t="s">
        <v>59</v>
      </c>
      <c r="B11" s="133">
        <f>IF(DigitaTICA!E2&lt;&gt;"",DigitaTICA!E2,"")</f>
        <v>26</v>
      </c>
      <c r="C11" s="29">
        <f>IF(DigitaTICA!E4&lt;&gt;"",DigitaTICA!E4,"")</f>
        <v>33200</v>
      </c>
      <c r="D11" s="42">
        <f>IF(C11="",0,C11*J$9)</f>
        <v>4316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28884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400</v>
      </c>
    </row>
    <row r="13" spans="1:12" x14ac:dyDescent="0.35">
      <c r="A13" s="28" t="s">
        <v>50</v>
      </c>
      <c r="B13" s="133">
        <f>IF(DigitaNICA!G2&lt;&gt;"",DigitaNICA!G2,"")</f>
        <v>55</v>
      </c>
      <c r="C13" s="29">
        <f>IF(DigitaNICA!G4&lt;&gt;"",DigitaNICA!G4,"")</f>
        <v>2800</v>
      </c>
      <c r="D13" s="42">
        <f>IF(C13="",0,C13*J$10)</f>
        <v>364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2436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10</v>
      </c>
      <c r="C15" s="29">
        <f>IF(DigitaTICA!G4&lt;&gt;"",DigitaTICA!G4,"")</f>
        <v>55800</v>
      </c>
      <c r="D15" s="42">
        <f>IF(C15="",0,C15*J$9)</f>
        <v>7254</v>
      </c>
      <c r="E15" s="29">
        <f>IF(DigitaTICA!H4&lt;&gt;"",DigitaTICA!H4,"")</f>
        <v>1050</v>
      </c>
      <c r="F15" s="42">
        <f>IF(E15="",0,E15*PREMIOS!F15)</f>
        <v>89250</v>
      </c>
      <c r="G15" s="30">
        <f t="shared" si="3"/>
        <v>-40704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41</v>
      </c>
      <c r="C17" s="29">
        <f>IF(DigitaNICA!I4&lt;&gt;"",DigitaNICA!I4,"")</f>
        <v>3850</v>
      </c>
      <c r="D17" s="42">
        <f>IF(C17="",0,C17*J$10)</f>
        <v>500.5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3349.5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61</v>
      </c>
      <c r="C19" s="29">
        <f>IF(DigitaPRIMERA!C4&lt;&gt;"",DigitaPRIMERA!C4,"")</f>
        <v>2000</v>
      </c>
      <c r="D19" s="42">
        <f>IF(C19="",0,C19*J$12)</f>
        <v>260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1740</v>
      </c>
    </row>
    <row r="20" spans="1:7" x14ac:dyDescent="0.35">
      <c r="A20" s="28" t="s">
        <v>98</v>
      </c>
      <c r="B20" s="133">
        <f>IF(DigitaPRIMERA!E2&lt;&gt;"",DigitaPRIMERA!E2,"")</f>
        <v>88</v>
      </c>
      <c r="C20" s="29">
        <f>IF(DigitaPRIMERA!E4&lt;&gt;"",DigitaPRIMERA!E4,"")</f>
        <v>1000</v>
      </c>
      <c r="D20" s="42">
        <f>IF(C20="",0,C20*J$12)</f>
        <v>130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870</v>
      </c>
    </row>
    <row r="21" spans="1:7" ht="15" thickBot="1" x14ac:dyDescent="0.4">
      <c r="A21" s="122" t="s">
        <v>5</v>
      </c>
      <c r="B21" s="129"/>
      <c r="C21" s="123">
        <f>SUM(C5:C20)</f>
        <v>234700</v>
      </c>
      <c r="D21" s="123">
        <f t="shared" ref="D21:G21" si="6">SUM(D5:D20)</f>
        <v>30511</v>
      </c>
      <c r="E21" s="123">
        <f t="shared" si="6"/>
        <v>2650</v>
      </c>
      <c r="F21" s="123">
        <f t="shared" si="6"/>
        <v>218750</v>
      </c>
      <c r="G21" s="124">
        <f t="shared" si="6"/>
        <v>-14561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PUESTO 2</v>
      </c>
      <c r="C2" s="284"/>
      <c r="D2" s="285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159700</v>
      </c>
      <c r="K4" s="233">
        <f t="shared" ref="K4" si="0">D7+D11+D15</f>
        <v>20761</v>
      </c>
      <c r="L4" s="222">
        <f>F7+F11+F15</f>
        <v>348500</v>
      </c>
    </row>
    <row r="5" spans="1:12" x14ac:dyDescent="0.35">
      <c r="A5" s="28" t="s">
        <v>43</v>
      </c>
      <c r="B5" s="133">
        <f>IF(DigitaNICA!C2&lt;&gt;"",DigitaNICA!C2,"")</f>
        <v>63</v>
      </c>
      <c r="C5" s="29">
        <f>IF(DigitaNICA!C5&lt;&gt;"",DigitaNICA!C5,"")</f>
        <v>13600</v>
      </c>
      <c r="D5" s="42">
        <f>IF(C5="",0,C5*J$10)</f>
        <v>1768</v>
      </c>
      <c r="E5" s="29">
        <f>IF(DigitaNICA!D5&lt;&gt;"",DigitaNICA!D5,"")</f>
        <v>200</v>
      </c>
      <c r="F5" s="42">
        <f>IF(E5="",0,E5*PREMIOS!E5)</f>
        <v>16000</v>
      </c>
      <c r="G5" s="30">
        <f t="shared" ref="G5:G12" si="1">IF(OR(C5="",E5=""),0,C5-D5-F5)</f>
        <v>-4168</v>
      </c>
      <c r="I5" s="243" t="s">
        <v>37</v>
      </c>
      <c r="J5" s="223">
        <f>SUM(IF(C5="",0,C5),IF(C9="",0,C9),IF(C13="",0,C13),IF(C17="",0,C17))</f>
        <v>20300</v>
      </c>
      <c r="K5" s="227">
        <f t="shared" ref="K5" si="2">D5+D9+D13+D17</f>
        <v>2639</v>
      </c>
      <c r="L5" s="224">
        <f>F5+F9+F13+F17</f>
        <v>56000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1400</v>
      </c>
      <c r="K6" s="230">
        <f>D19+D20</f>
        <v>182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>
        <f>IF(DigitaTICA!C5&lt;&gt;"",DigitaTICA!C5,"")</f>
        <v>60250</v>
      </c>
      <c r="D7" s="42">
        <f>IF(C7="",0,C7*J$9)</f>
        <v>7832.5</v>
      </c>
      <c r="E7" s="29">
        <f>IF(DigitaTICA!D5&lt;&gt;"",DigitaTICA!D5,"")</f>
        <v>1000</v>
      </c>
      <c r="F7" s="42">
        <f>IF(E7="",0,E7*PREMIOS!F7)</f>
        <v>85000</v>
      </c>
      <c r="G7" s="30">
        <f t="shared" si="1"/>
        <v>-32582.5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6" t="s">
        <v>34</v>
      </c>
      <c r="J8" s="286"/>
      <c r="K8" s="286"/>
    </row>
    <row r="9" spans="1:12" x14ac:dyDescent="0.35">
      <c r="A9" s="28" t="s">
        <v>48</v>
      </c>
      <c r="B9" s="133">
        <f>IF(DigitaNICA!E2&lt;&gt;"",DigitaNICA!E2,"")</f>
        <v>12</v>
      </c>
      <c r="C9" s="29">
        <f>IF(DigitaNICA!E5&lt;&gt;"",DigitaNICA!E5,"")</f>
        <v>6500</v>
      </c>
      <c r="D9" s="42">
        <f>IF(C9="",0,C9*J$10)</f>
        <v>845</v>
      </c>
      <c r="E9" s="29">
        <f>IF(DigitaNICA!F5&lt;&gt;"",DigitaNICA!F5,"")</f>
        <v>500</v>
      </c>
      <c r="F9" s="42">
        <f>IF(E9="",0,E9*PREMIOS!E9)</f>
        <v>40000</v>
      </c>
      <c r="G9" s="30">
        <f t="shared" si="1"/>
        <v>-34345</v>
      </c>
      <c r="I9" s="60" t="s">
        <v>36</v>
      </c>
      <c r="J9" s="61">
        <v>0.13</v>
      </c>
      <c r="K9" s="62">
        <f>MROUND(D7+D11+D15,50)</f>
        <v>20750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2650</v>
      </c>
    </row>
    <row r="11" spans="1:12" x14ac:dyDescent="0.35">
      <c r="A11" s="28" t="s">
        <v>59</v>
      </c>
      <c r="B11" s="133">
        <f>IF(DigitaTICA!E2&lt;&gt;"",DigitaTICA!E2,"")</f>
        <v>26</v>
      </c>
      <c r="C11" s="29">
        <f>IF(DigitaTICA!E5&lt;&gt;"",DigitaTICA!E5,"")</f>
        <v>27050</v>
      </c>
      <c r="D11" s="42">
        <f>IF(C11="",0,C11*J$9)</f>
        <v>3516.5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23533.5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200</v>
      </c>
    </row>
    <row r="13" spans="1:12" x14ac:dyDescent="0.35">
      <c r="A13" s="28" t="s">
        <v>50</v>
      </c>
      <c r="B13" s="133">
        <f>IF(DigitaNICA!G2&lt;&gt;"",DigitaNICA!G2,"")</f>
        <v>55</v>
      </c>
      <c r="C13" s="29">
        <f>IF(DigitaNICA!G5&lt;&gt;"",DigitaNICA!G5,"")</f>
        <v>200</v>
      </c>
      <c r="D13" s="42">
        <f>IF(C13="",0,C13*J$10)</f>
        <v>26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174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10</v>
      </c>
      <c r="C15" s="29">
        <f>IF(DigitaTICA!G5&lt;&gt;"",DigitaTICA!G5,"")</f>
        <v>72400</v>
      </c>
      <c r="D15" s="42">
        <f>IF(C15="",0,C15*J$9)</f>
        <v>9412</v>
      </c>
      <c r="E15" s="29">
        <f>IF(DigitaTICA!H5&lt;&gt;"",DigitaTICA!H5,"")</f>
        <v>3100</v>
      </c>
      <c r="F15" s="42">
        <f>IF(E15="",0,E15*PREMIOS!F15)</f>
        <v>263500</v>
      </c>
      <c r="G15" s="30">
        <f t="shared" si="3"/>
        <v>-200512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41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61</v>
      </c>
      <c r="C19" s="29">
        <f>IF(DigitaPRIMERA!C5&lt;&gt;"",DigitaPRIMERA!C5,"")</f>
        <v>1200</v>
      </c>
      <c r="D19" s="42">
        <f>IF(C19="",0,C19*J$12)</f>
        <v>156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1044</v>
      </c>
    </row>
    <row r="20" spans="1:7" x14ac:dyDescent="0.35">
      <c r="A20" s="28" t="s">
        <v>98</v>
      </c>
      <c r="B20" s="133">
        <f>IF(DigitaPRIMERA!E2&lt;&gt;"",DigitaPRIMERA!E2,"")</f>
        <v>88</v>
      </c>
      <c r="C20" s="29">
        <f>IF(DigitaPRIMERA!E5&lt;&gt;"",DigitaPRIMERA!E5,"")</f>
        <v>200</v>
      </c>
      <c r="D20" s="42">
        <f>IF(C20="",0,C20*J$12)</f>
        <v>26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174</v>
      </c>
    </row>
    <row r="21" spans="1:7" ht="15" thickBot="1" x14ac:dyDescent="0.4">
      <c r="A21" s="67" t="s">
        <v>5</v>
      </c>
      <c r="B21" s="128"/>
      <c r="C21" s="68">
        <f>SUM(C5:C20)</f>
        <v>181400</v>
      </c>
      <c r="D21" s="68">
        <f t="shared" ref="D21:G21" si="4">SUM(D5:D20)</f>
        <v>23582</v>
      </c>
      <c r="E21" s="68">
        <f t="shared" si="4"/>
        <v>4800</v>
      </c>
      <c r="F21" s="68">
        <f t="shared" si="4"/>
        <v>404500</v>
      </c>
      <c r="G21" s="89">
        <f t="shared" si="4"/>
        <v>-246682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">
        <v>152</v>
      </c>
      <c r="C2" s="284"/>
      <c r="D2" s="285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63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12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26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55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10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41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61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88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Nuevo 2</v>
      </c>
      <c r="C2" s="284"/>
      <c r="D2" s="285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63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6" t="s">
        <v>34</v>
      </c>
      <c r="J8" s="286"/>
      <c r="K8" s="286"/>
    </row>
    <row r="9" spans="1:12" x14ac:dyDescent="0.35">
      <c r="A9" s="28" t="s">
        <v>48</v>
      </c>
      <c r="B9" s="133">
        <f>IF(DigitaNICA!E2&lt;&gt;"",DigitaNICA!E2,"")</f>
        <v>12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26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55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10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41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7" t="str">
        <f>J2</f>
        <v>YOYO</v>
      </c>
      <c r="C2" s="287"/>
      <c r="D2" s="288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203850</v>
      </c>
      <c r="K4" s="233">
        <f t="shared" ref="K4" si="0">D7+D11+D15</f>
        <v>24462</v>
      </c>
      <c r="L4" s="222">
        <f>F7+F11+F15</f>
        <v>127500</v>
      </c>
    </row>
    <row r="5" spans="1:12" x14ac:dyDescent="0.35">
      <c r="A5" s="28" t="s">
        <v>43</v>
      </c>
      <c r="B5" s="133">
        <f>IF(DigitaNICA!C2&lt;&gt;"",DigitaNICA!C2,"")</f>
        <v>63</v>
      </c>
      <c r="C5" s="29">
        <f>IF(DigitaNICA!C8&lt;&gt;"",DigitaNICA!C8,"")</f>
        <v>65450</v>
      </c>
      <c r="D5" s="42">
        <f>IF(C5="",0,C5*J$12)</f>
        <v>7854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57596</v>
      </c>
      <c r="I5" s="243" t="s">
        <v>37</v>
      </c>
      <c r="J5" s="223">
        <f>SUM(IF(C5="",0,C5),IF(C9="",0,C9),IF(C13="",0,C13),IF(C17="",0,C17))</f>
        <v>166800</v>
      </c>
      <c r="K5" s="227">
        <f t="shared" ref="K5" si="2">D5+D9+D13+D17</f>
        <v>20016</v>
      </c>
      <c r="L5" s="224">
        <f>F5+F9+F13+F17</f>
        <v>260000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>
        <f>IF(DigitaTICA!C8&lt;&gt;"",DigitaTICA!C8,"")</f>
        <v>61000</v>
      </c>
      <c r="D7" s="42">
        <f>IF(C7="",0,C7*J$11)</f>
        <v>7320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53680</v>
      </c>
      <c r="I7" s="244" t="s">
        <v>96</v>
      </c>
      <c r="J7" s="226">
        <f>SUM(IF(C19="",0,C19),IF(C20="",0,C20))</f>
        <v>37300</v>
      </c>
      <c r="K7" s="230">
        <f>+D19+D20</f>
        <v>4476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12</v>
      </c>
      <c r="C9" s="29">
        <f>IF(DigitaNICA!E8&lt;&gt;"",DigitaNICA!E8,"")</f>
        <v>40950</v>
      </c>
      <c r="D9" s="42">
        <f>IF(C9="",0,C9*J$12)</f>
        <v>4914</v>
      </c>
      <c r="E9" s="29">
        <f>IF(DigitaNICA!F8&lt;&gt;"",DigitaNICA!F8,"")</f>
        <v>2450</v>
      </c>
      <c r="F9" s="42">
        <f>IF(E9="",0,E9*PREMIOS!E9)</f>
        <v>196000</v>
      </c>
      <c r="G9" s="30">
        <f t="shared" si="1"/>
        <v>-159964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6" t="s">
        <v>34</v>
      </c>
      <c r="J10" s="286"/>
      <c r="K10" s="286"/>
    </row>
    <row r="11" spans="1:12" x14ac:dyDescent="0.35">
      <c r="A11" s="28" t="s">
        <v>59</v>
      </c>
      <c r="B11" s="133">
        <f>IF(DigitaTICA!E2&lt;&gt;"",DigitaTICA!E2,"")</f>
        <v>26</v>
      </c>
      <c r="C11" s="29">
        <f>IF(DigitaTICA!E8&lt;&gt;"",DigitaTICA!E8,"")</f>
        <v>67200</v>
      </c>
      <c r="D11" s="42">
        <f>IF(C11="",0,C11*J$11)</f>
        <v>8064</v>
      </c>
      <c r="E11" s="29">
        <f>IF(DigitaTICA!F8&lt;&gt;"",DigitaTICA!F8,"")</f>
        <v>250</v>
      </c>
      <c r="F11" s="42">
        <f>IF(E11="",0,E11*PREMIOS!F11)</f>
        <v>21250</v>
      </c>
      <c r="G11" s="30">
        <f t="shared" si="1"/>
        <v>37886</v>
      </c>
      <c r="I11" s="60" t="s">
        <v>36</v>
      </c>
      <c r="J11" s="61">
        <v>0.12</v>
      </c>
      <c r="K11" s="62">
        <f>MROUND(D7+D11+D15,50)</f>
        <v>24450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20000</v>
      </c>
    </row>
    <row r="13" spans="1:12" x14ac:dyDescent="0.35">
      <c r="A13" s="28" t="s">
        <v>50</v>
      </c>
      <c r="B13" s="133">
        <f>IF(DigitaNICA!G2&lt;&gt;"",DigitaNICA!G2,"")</f>
        <v>55</v>
      </c>
      <c r="C13" s="29">
        <f>IF(DigitaNICA!G8&lt;&gt;"",DigitaNICA!G8,"")</f>
        <v>6100</v>
      </c>
      <c r="D13" s="42">
        <f>IF(C13="",0,C13*J$12)</f>
        <v>732</v>
      </c>
      <c r="E13" s="29">
        <f>IF(DigitaNICA!H8&lt;&gt;"",DigitaNICA!H8,"")</f>
        <v>400</v>
      </c>
      <c r="F13" s="42">
        <f>IF(E13="",0,E13*PREMIOS!E13)</f>
        <v>32000</v>
      </c>
      <c r="G13" s="30">
        <f>IF(OR(C13="",E13=""),0,C13-D13-F13)</f>
        <v>-26632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4500</v>
      </c>
    </row>
    <row r="15" spans="1:12" x14ac:dyDescent="0.35">
      <c r="A15" s="28" t="s">
        <v>61</v>
      </c>
      <c r="B15" s="133">
        <f>IF(DigitaTICA!G2&lt;&gt;"",DigitaTICA!G2,"")</f>
        <v>10</v>
      </c>
      <c r="C15" s="29">
        <f>IF(DigitaTICA!G8&lt;&gt;"",DigitaTICA!G8,"")</f>
        <v>75650</v>
      </c>
      <c r="D15" s="42">
        <f>IF(C15="",0,C15*J$11)</f>
        <v>9078</v>
      </c>
      <c r="E15" s="29">
        <f>IF(DigitaTICA!H8&lt;&gt;"",DigitaTICA!H8,"")</f>
        <v>1250</v>
      </c>
      <c r="F15" s="42">
        <f>IF(E15="",0,E15*PREMIOS!F15)</f>
        <v>106250</v>
      </c>
      <c r="G15" s="30">
        <f t="shared" si="4"/>
        <v>-39678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41</v>
      </c>
      <c r="C17" s="29">
        <f>IF(DigitaNICA!I8&lt;&gt;"",DigitaNICA!I8,"")</f>
        <v>54300</v>
      </c>
      <c r="D17" s="42">
        <f>IF(C17="",0,C17*J$12)</f>
        <v>6516</v>
      </c>
      <c r="E17" s="29">
        <f>IF(DigitaNICA!J8&lt;&gt;"",DigitaNICA!J8,"")</f>
        <v>400</v>
      </c>
      <c r="F17" s="42">
        <f>IF(E17="",0,E17*PREMIOS!E17)</f>
        <v>32000</v>
      </c>
      <c r="G17" s="30">
        <f t="shared" si="4"/>
        <v>15784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61</v>
      </c>
      <c r="C19" s="29">
        <f>IF(DigitaPRIMERA!C8&lt;&gt;"",DigitaPRIMERA!C8,"")</f>
        <v>15050</v>
      </c>
      <c r="D19" s="42">
        <f>IF(C19="",0,C19*J$14)</f>
        <v>1806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13244</v>
      </c>
    </row>
    <row r="20" spans="1:7" x14ac:dyDescent="0.35">
      <c r="A20" s="28" t="s">
        <v>98</v>
      </c>
      <c r="B20" s="133">
        <f>IF(DigitaPRIMERA!E2&lt;&gt;"",DigitaPRIMERA!E2,"")</f>
        <v>88</v>
      </c>
      <c r="C20" s="29">
        <f>IF(DigitaPRIMERA!E8&lt;&gt;"",DigitaPRIMERA!E8,"")</f>
        <v>22250</v>
      </c>
      <c r="D20" s="42">
        <f>IF(C20="",0,C20*J$14)</f>
        <v>2670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19580</v>
      </c>
    </row>
    <row r="21" spans="1:7" ht="15" thickBot="1" x14ac:dyDescent="0.4">
      <c r="A21" s="122" t="s">
        <v>5</v>
      </c>
      <c r="B21" s="129"/>
      <c r="C21" s="123">
        <f>SUM(C5:C20)</f>
        <v>407950</v>
      </c>
      <c r="D21" s="123">
        <f t="shared" ref="D21:G21" si="5">SUM(D5:D20)</f>
        <v>48954</v>
      </c>
      <c r="E21" s="123">
        <f t="shared" si="5"/>
        <v>4750</v>
      </c>
      <c r="F21" s="123">
        <f t="shared" si="5"/>
        <v>387500</v>
      </c>
      <c r="G21" s="124">
        <f t="shared" si="5"/>
        <v>-28504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MARTA ROSA</v>
      </c>
      <c r="C2" s="284"/>
      <c r="D2" s="285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63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12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6" t="s">
        <v>34</v>
      </c>
      <c r="J10" s="286"/>
      <c r="K10" s="286"/>
    </row>
    <row r="11" spans="1:12" x14ac:dyDescent="0.35">
      <c r="A11" s="28" t="s">
        <v>59</v>
      </c>
      <c r="B11" s="133">
        <f>IF(DigitaTICA!E2&lt;&gt;"",DigitaTICA!E2,"")</f>
        <v>26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55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10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41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61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88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PIKIS</v>
      </c>
      <c r="C2" s="284"/>
      <c r="D2" s="285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428100</v>
      </c>
      <c r="K4" s="233">
        <f t="shared" ref="K4" si="0">D7+D11+D15</f>
        <v>51372</v>
      </c>
      <c r="L4" s="222">
        <f>F7+F11+F15</f>
        <v>603500</v>
      </c>
    </row>
    <row r="5" spans="1:12" x14ac:dyDescent="0.35">
      <c r="A5" s="28" t="s">
        <v>43</v>
      </c>
      <c r="B5" s="133">
        <f>IF(DigitaNICA!C2&lt;&gt;"",DigitaNICA!C2,"")</f>
        <v>63</v>
      </c>
      <c r="C5" s="29">
        <f>IF(DigitaNICA!C10&lt;&gt;"",DigitaNICA!C10,"")</f>
        <v>100900</v>
      </c>
      <c r="D5" s="42">
        <f>IF(C5="",0,C5*J$15)</f>
        <v>12108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88792</v>
      </c>
      <c r="I5" s="219" t="s">
        <v>37</v>
      </c>
      <c r="J5" s="223">
        <f>SUM(IF(C5="",0,C5),IF(C9="",0,C9),IF(C13="",0,C13),IF(C17="",0,C17))</f>
        <v>367500</v>
      </c>
      <c r="K5" s="227">
        <f t="shared" ref="K5" si="2">D5+D9+D13+D17</f>
        <v>44100</v>
      </c>
      <c r="L5" s="224">
        <f>F5+F9+F13+F17</f>
        <v>293250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69300</v>
      </c>
      <c r="K6" s="228">
        <f t="shared" ref="K6" si="3">+D8+D12+D16</f>
        <v>6930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97</v>
      </c>
      <c r="C7" s="29">
        <f>IF(DigitaTICA!C10&lt;&gt;"",DigitaTICA!C10,"")</f>
        <v>139350</v>
      </c>
      <c r="D7" s="42">
        <f>IF(C7="",0,C7*J$14)</f>
        <v>16722</v>
      </c>
      <c r="E7" s="29">
        <f>IF(DigitaTICA!D10&lt;&gt;"",DigitaTICA!D10,"")</f>
        <v>850</v>
      </c>
      <c r="F7" s="42">
        <f>IF(E7="",0,E7*PREMIOS!F7)</f>
        <v>72250</v>
      </c>
      <c r="G7" s="30">
        <f t="shared" si="1"/>
        <v>50378</v>
      </c>
      <c r="I7" s="219" t="s">
        <v>96</v>
      </c>
      <c r="J7" s="225">
        <f>SUM(IF(C19="",0,C19),IF(C20="",0,C20))</f>
        <v>76850</v>
      </c>
      <c r="K7" s="228">
        <f>+D19+D20</f>
        <v>9222</v>
      </c>
      <c r="L7" s="229">
        <f>+F19+F20</f>
        <v>42500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26900</v>
      </c>
      <c r="D8" s="42">
        <f>IF(C8="",0,C8*J$16)</f>
        <v>2690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24210</v>
      </c>
      <c r="I8" s="219" t="s">
        <v>104</v>
      </c>
      <c r="J8" s="225">
        <f>SUM(IF(C21="",0,C21),IF(C22="",0,C22),IF(C23="",0,C23))</f>
        <v>38500</v>
      </c>
      <c r="K8" s="228">
        <f t="shared" ref="K8" si="4">D21+D22+D23</f>
        <v>4620</v>
      </c>
      <c r="L8" s="229">
        <f>F21+F22+F23</f>
        <v>8500</v>
      </c>
    </row>
    <row r="9" spans="1:12" x14ac:dyDescent="0.35">
      <c r="A9" s="28" t="s">
        <v>48</v>
      </c>
      <c r="B9" s="133">
        <f>IF(DigitaNICA!E2&lt;&gt;"",DigitaNICA!E2,"")</f>
        <v>12</v>
      </c>
      <c r="C9" s="29">
        <f>IF(DigitaNICA!E10&lt;&gt;"",DigitaNICA!E10,"")</f>
        <v>91150</v>
      </c>
      <c r="D9" s="42">
        <f>IF(C9="",0,C9*J$15)</f>
        <v>10938</v>
      </c>
      <c r="E9" s="29">
        <f>IF(DigitaNICA!F10&lt;&gt;"",DigitaNICA!F10,"")</f>
        <v>2700</v>
      </c>
      <c r="F9" s="42">
        <f>IF(E9="",0,E9*PREMIOS!F9)</f>
        <v>229500</v>
      </c>
      <c r="G9" s="30">
        <f t="shared" si="1"/>
        <v>-149288</v>
      </c>
      <c r="I9" s="219" t="s">
        <v>20</v>
      </c>
      <c r="J9" s="225">
        <f>SUM(IF(C24="",0,C24),IF(C25="",0,C25))</f>
        <v>150750</v>
      </c>
      <c r="K9" s="228">
        <f t="shared" ref="K9" si="5">+D24+D25</f>
        <v>18090</v>
      </c>
      <c r="L9" s="229">
        <f>F24+F25</f>
        <v>255000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26</v>
      </c>
      <c r="C11" s="29">
        <f>IF(DigitaTICA!E10&lt;&gt;"",DigitaTICA!E10,"")</f>
        <v>144450</v>
      </c>
      <c r="D11" s="42">
        <f>IF(C11="",0,C11*J$14)</f>
        <v>17334</v>
      </c>
      <c r="E11" s="29">
        <f>IF(DigitaTICA!F10&lt;&gt;"",DigitaTICA!F10,"")</f>
        <v>2850</v>
      </c>
      <c r="F11" s="42">
        <f>IF(E11="",0,E11*PREMIOS!F11)</f>
        <v>242250</v>
      </c>
      <c r="G11" s="30">
        <f t="shared" si="1"/>
        <v>-115134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19900</v>
      </c>
      <c r="D12" s="42">
        <f>IF(C12="",0,C12*J$16)</f>
        <v>1990</v>
      </c>
      <c r="E12" s="29">
        <f>IF(DigitaREVENTADO!F10&lt;&gt;"",DigitaREVENTADO!F10,"")</f>
        <v>1000</v>
      </c>
      <c r="F12" s="42">
        <f>IF(E12="",0,E12*PREMIOS!F12)</f>
        <v>0</v>
      </c>
      <c r="G12" s="30">
        <f t="shared" si="1"/>
        <v>17910</v>
      </c>
    </row>
    <row r="13" spans="1:12" ht="15" thickBot="1" x14ac:dyDescent="0.4">
      <c r="A13" s="28" t="s">
        <v>50</v>
      </c>
      <c r="B13" s="133">
        <f>IF(DigitaNICA!G2&lt;&gt;"",DigitaNICA!G2,"")</f>
        <v>55</v>
      </c>
      <c r="C13" s="29">
        <f>IF(DigitaNICA!G10&lt;&gt;"",DigitaNICA!G10,"")</f>
        <v>84850</v>
      </c>
      <c r="D13" s="42">
        <f>IF(C13="",0,C13*J$15)</f>
        <v>10182</v>
      </c>
      <c r="E13" s="29">
        <f>IF(DigitaNICA!H10&lt;&gt;"",DigitaNICA!H10,"")</f>
        <v>550</v>
      </c>
      <c r="F13" s="42">
        <f>IF(E13="",0,E13*PREMIOS!F13)</f>
        <v>46750</v>
      </c>
      <c r="G13" s="30">
        <f>IF(OR(C13="",E13=""),0,C13-D13-F13)</f>
        <v>27918</v>
      </c>
      <c r="I13" s="283" t="s">
        <v>34</v>
      </c>
      <c r="J13" s="283"/>
      <c r="K13" s="283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51350</v>
      </c>
    </row>
    <row r="15" spans="1:12" x14ac:dyDescent="0.35">
      <c r="A15" s="28" t="s">
        <v>61</v>
      </c>
      <c r="B15" s="133">
        <f>IF(DigitaTICA!G2&lt;&gt;"",DigitaTICA!G2,"")</f>
        <v>10</v>
      </c>
      <c r="C15" s="29">
        <f>IF(DigitaTICA!G10&lt;&gt;"",DigitaTICA!G10,"")</f>
        <v>144300</v>
      </c>
      <c r="D15" s="42">
        <f>IF(C15="",0,C15*J$14)</f>
        <v>17316</v>
      </c>
      <c r="E15" s="29">
        <f>IF(DigitaTICA!H10&lt;&gt;"",DigitaTICA!H10,"")</f>
        <v>3400</v>
      </c>
      <c r="F15" s="42">
        <f>IF(E15="",0,E15*PREMIOS!F15)</f>
        <v>289000</v>
      </c>
      <c r="G15" s="30">
        <f t="shared" si="6"/>
        <v>-162016</v>
      </c>
      <c r="I15" s="63" t="s">
        <v>37</v>
      </c>
      <c r="J15" s="64">
        <v>0.12</v>
      </c>
      <c r="K15" s="30">
        <f>MROUND(D5+D9+D13+D17,50)</f>
        <v>44100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22500</v>
      </c>
      <c r="D16" s="42">
        <f>IF(C16="",0,C16*J$16)</f>
        <v>2250</v>
      </c>
      <c r="E16" s="29">
        <f>IF(DigitaREVENTADO!H10&lt;&gt;"",DigitaREVENTADO!H10,"")</f>
        <v>3000</v>
      </c>
      <c r="F16" s="42">
        <f>IF(E16="",0,E16*PREMIOS!F16)</f>
        <v>0</v>
      </c>
      <c r="G16" s="30">
        <f t="shared" si="6"/>
        <v>20250</v>
      </c>
      <c r="I16" s="63" t="s">
        <v>38</v>
      </c>
      <c r="J16" s="64">
        <v>0.1</v>
      </c>
      <c r="K16" s="30">
        <f>MROUND(D6+D8+D10+D12+D14+D16+D18,50)</f>
        <v>6950</v>
      </c>
    </row>
    <row r="17" spans="1:11" x14ac:dyDescent="0.35">
      <c r="A17" s="28" t="s">
        <v>52</v>
      </c>
      <c r="B17" s="133">
        <f>IF(DigitaNICA!I2&lt;&gt;"",DigitaNICA!I2,"")</f>
        <v>41</v>
      </c>
      <c r="C17" s="29">
        <f>IF(DigitaNICA!I10&lt;&gt;"",DigitaNICA!I10,"")</f>
        <v>90600</v>
      </c>
      <c r="D17" s="42">
        <f>IF(C17="",0,C17*J$15)</f>
        <v>10872</v>
      </c>
      <c r="E17" s="29">
        <f>IF(DigitaNICA!J10&lt;&gt;"",DigitaNICA!J10,"")</f>
        <v>200</v>
      </c>
      <c r="F17" s="42">
        <f>IF(E17="",0,E17*PREMIOS!F17)</f>
        <v>17000</v>
      </c>
      <c r="G17" s="30">
        <f t="shared" si="6"/>
        <v>62728</v>
      </c>
      <c r="I17" s="63" t="s">
        <v>96</v>
      </c>
      <c r="J17" s="64">
        <v>0.12</v>
      </c>
      <c r="K17" s="30">
        <f>MROUND(D19+D20,50)</f>
        <v>9200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4600</v>
      </c>
    </row>
    <row r="19" spans="1:11" x14ac:dyDescent="0.35">
      <c r="A19" s="28" t="s">
        <v>97</v>
      </c>
      <c r="B19" s="133">
        <f>IF(DigitaPRIMERA!C2&lt;&gt;"",DigitaPRIMERA!C2,"")</f>
        <v>61</v>
      </c>
      <c r="C19" s="29">
        <f>IF(DigitaPRIMERA!$C$10&lt;&gt;"",DigitaPRIMERA!$C$10,"")</f>
        <v>35150</v>
      </c>
      <c r="D19" s="42">
        <f>IF(C19="",0,C19*J$17)</f>
        <v>4218</v>
      </c>
      <c r="E19" s="29">
        <f>IF(DigitaPRIMERA!$D$10&lt;&gt;"",DigitaPRIMERA!$D$10,"")</f>
        <v>500</v>
      </c>
      <c r="F19" s="42">
        <f>IF(E19="",0,E19*PREMIOS!F19)</f>
        <v>42500</v>
      </c>
      <c r="G19" s="30">
        <f t="shared" ref="G19:G22" si="7">IF(OR(C19="",E19=""),0,C19-D19-F19)</f>
        <v>-11568</v>
      </c>
      <c r="I19" s="63" t="s">
        <v>20</v>
      </c>
      <c r="J19" s="64">
        <v>0.12</v>
      </c>
      <c r="K19" s="30">
        <f>MROUND(D24+D25,50)</f>
        <v>18100</v>
      </c>
    </row>
    <row r="20" spans="1:11" ht="15" thickBot="1" x14ac:dyDescent="0.4">
      <c r="A20" s="28" t="s">
        <v>98</v>
      </c>
      <c r="B20" s="133">
        <f>IF(DigitaPRIMERA!E2&lt;&gt;"",DigitaPRIMERA!E2,"")</f>
        <v>88</v>
      </c>
      <c r="C20" s="29">
        <f>IF(DigitaPRIMERA!$E$10&lt;&gt;"",DigitaPRIMERA!$E$10,"")</f>
        <v>41700</v>
      </c>
      <c r="D20" s="42">
        <f>IF(C20="",0,C20*J$17)</f>
        <v>5004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36696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60</v>
      </c>
      <c r="C21" s="29">
        <f>IF(DigitaHONDURAS!$C$10&lt;&gt;"",DigitaHONDURAS!$C$10,"")</f>
        <v>14750</v>
      </c>
      <c r="D21" s="42">
        <f>IF(C21="",0,C21*J$18)</f>
        <v>1770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12980</v>
      </c>
    </row>
    <row r="22" spans="1:11" x14ac:dyDescent="0.35">
      <c r="A22" s="28" t="s">
        <v>100</v>
      </c>
      <c r="B22" s="133">
        <f>IF(DigitaHONDURAS!E2&lt;&gt;"",DigitaHONDURAS!E2,"")</f>
        <v>36</v>
      </c>
      <c r="C22" s="29">
        <f>IF(DigitaHONDURAS!$E$10&lt;&gt;"",DigitaHONDURAS!$E$10,"")</f>
        <v>13050</v>
      </c>
      <c r="D22" s="42">
        <f>IF(C22="",0,C22*J$18)</f>
        <v>1566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11484</v>
      </c>
    </row>
    <row r="23" spans="1:11" x14ac:dyDescent="0.35">
      <c r="A23" s="28" t="s">
        <v>101</v>
      </c>
      <c r="B23" s="133">
        <f>IF(DigitaHONDURAS!G2&lt;&gt;"",DigitaHONDURAS!G2,"")</f>
        <v>29</v>
      </c>
      <c r="C23" s="29">
        <f>IF(DigitaHONDURAS!$G$10&lt;&gt;"",DigitaHONDURAS!$G$10,"")</f>
        <v>10700</v>
      </c>
      <c r="D23" s="42">
        <f>IF(C23="",0,C23*J$18)</f>
        <v>1284</v>
      </c>
      <c r="E23" s="29">
        <f>IF(DigitaHONDURAS!$H$10&lt;&gt;"",DigitaHONDURAS!$H$10,"")</f>
        <v>100</v>
      </c>
      <c r="F23" s="42">
        <f>IF(E23="",0,E23*PREMIOS!F20)</f>
        <v>8500</v>
      </c>
      <c r="G23" s="30">
        <f t="shared" ref="G23:G26" si="8">IF(OR(C23="",E23=""),0,C23-D23-F23)</f>
        <v>916</v>
      </c>
    </row>
    <row r="24" spans="1:11" x14ac:dyDescent="0.35">
      <c r="A24" s="28" t="s">
        <v>107</v>
      </c>
      <c r="B24" s="133">
        <f>IF(DigitaDOMINICANA!C2&lt;&gt;"",DigitaDOMINICANA!C2,"")</f>
        <v>44</v>
      </c>
      <c r="C24" s="29">
        <f>IF(DigitaDOMINICANA!$C$10&lt;&gt;"",DigitaDOMINICANA!$C$10,"")</f>
        <v>76500</v>
      </c>
      <c r="D24" s="42">
        <f>IF(C24="",0,C24*J$19)</f>
        <v>9180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67320</v>
      </c>
    </row>
    <row r="25" spans="1:11" x14ac:dyDescent="0.35">
      <c r="A25" s="28" t="s">
        <v>108</v>
      </c>
      <c r="B25" s="133">
        <f>IF(DigitaDOMINICANA!E2&lt;&gt;"",DigitaDOMINICANA!E2,"")</f>
        <v>28</v>
      </c>
      <c r="C25" s="29">
        <f>IF(DigitaDOMINICANA!$E$10&lt;&gt;"",DigitaDOMINICANA!$E$10,"")</f>
        <v>74250</v>
      </c>
      <c r="D25" s="42">
        <f>IF(C25="",0,C25*J$19)</f>
        <v>8910</v>
      </c>
      <c r="E25" s="29">
        <f>IF(DigitaDOMINICANA!$F$10&lt;&gt;"",DigitaDOMINICANA!$F$10,"")</f>
        <v>3000</v>
      </c>
      <c r="F25" s="42">
        <f>IF(E25="",0,E25*PREMIOS!F21)</f>
        <v>255000</v>
      </c>
      <c r="G25" s="30">
        <f t="shared" si="8"/>
        <v>-189660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1131000</v>
      </c>
      <c r="D27" s="68">
        <f t="shared" ref="D27:F27" si="9">SUM(D5:D26)</f>
        <v>134334</v>
      </c>
      <c r="E27" s="68">
        <f t="shared" si="9"/>
        <v>18150</v>
      </c>
      <c r="F27" s="68">
        <f t="shared" si="9"/>
        <v>1202750</v>
      </c>
      <c r="G27" s="89">
        <f>SUM(G5:G26)</f>
        <v>-206084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ISA</v>
      </c>
      <c r="C2" s="284"/>
      <c r="D2" s="285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12800</v>
      </c>
      <c r="K4" s="233">
        <f t="shared" ref="K4" si="0">D7+D11+D15</f>
        <v>1536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63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>
        <f>IF(DigitaTICA!C11&lt;&gt;"",DigitaTICA!C11,"")</f>
        <v>5000</v>
      </c>
      <c r="D7" s="42">
        <f>IF(C7="",0,C7*J$11)</f>
        <v>600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4400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12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26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1550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55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10</v>
      </c>
      <c r="C15" s="29">
        <f>IF(DigitaTICA!G11&lt;&gt;"",DigitaTICA!G11,"")</f>
        <v>7800</v>
      </c>
      <c r="D15" s="42">
        <f>IF(C15="",0,C15*J$11)</f>
        <v>936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6864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41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61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88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12800</v>
      </c>
      <c r="D21" s="123">
        <f t="shared" ref="D21:G21" si="5">SUM(D5:D20)</f>
        <v>1536</v>
      </c>
      <c r="E21" s="123">
        <f t="shared" si="5"/>
        <v>0</v>
      </c>
      <c r="F21" s="123">
        <f t="shared" si="5"/>
        <v>0</v>
      </c>
      <c r="G21" s="124">
        <f t="shared" si="5"/>
        <v>11264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8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JUAN FELIX</v>
      </c>
      <c r="C2" s="284"/>
      <c r="D2" s="285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68000</v>
      </c>
      <c r="K4" s="233">
        <f>D7+D11+D15</f>
        <v>8160</v>
      </c>
      <c r="L4" s="222">
        <f>F7+F11+F15</f>
        <v>34000</v>
      </c>
    </row>
    <row r="5" spans="1:12" x14ac:dyDescent="0.35">
      <c r="A5" s="28" t="s">
        <v>43</v>
      </c>
      <c r="B5" s="133">
        <f>IF(DigitaNICA!C2&lt;&gt;"",DigitaNICA!C2,"")</f>
        <v>63</v>
      </c>
      <c r="C5" s="29">
        <f>IF(DigitaNICA!C12&lt;&gt;"",DigitaNICA!C12,"")</f>
        <v>36900</v>
      </c>
      <c r="D5" s="42">
        <f>IF(C5="",0,C5*J$12)</f>
        <v>4428</v>
      </c>
      <c r="E5" s="29">
        <f>IF(DigitaNICA!D12&lt;&gt;"",DigitaNICA!D12,"")</f>
        <v>500</v>
      </c>
      <c r="F5" s="42">
        <f>IF(E5="",0,E5*PREMIOS!F5)</f>
        <v>42500</v>
      </c>
      <c r="G5" s="30">
        <f t="shared" ref="G5:G12" si="0">IF(OR(C5="",E5=""),0,C5-D5-F5)</f>
        <v>-10028</v>
      </c>
      <c r="I5" s="219" t="s">
        <v>37</v>
      </c>
      <c r="J5" s="223">
        <f>SUM(IF(C5="",0,C5),IF(C9="",0,C9),IF(C13="",0,C13),IF(C17="",0,C17))</f>
        <v>39900</v>
      </c>
      <c r="K5" s="227">
        <f t="shared" ref="K5" si="1">D5+D9+D13+D17</f>
        <v>4788</v>
      </c>
      <c r="L5" s="224">
        <f>F5+F9+F13+F17</f>
        <v>42500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3800</v>
      </c>
      <c r="K6" s="228">
        <f t="shared" ref="K6" si="2">+D8+D12+D16</f>
        <v>380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97</v>
      </c>
      <c r="C7" s="29">
        <f>IF(DigitaTICA!C12&lt;&gt;"",DigitaTICA!C12,"")</f>
        <v>34750</v>
      </c>
      <c r="D7" s="42">
        <f>IF(C7="",0,C7*J$11)</f>
        <v>4170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30580</v>
      </c>
      <c r="I7" s="219" t="s">
        <v>96</v>
      </c>
      <c r="J7" s="225">
        <f>SUM(IF(C19="",0,C19),IF(C20="",0,C20))</f>
        <v>30400</v>
      </c>
      <c r="K7" s="228">
        <f>+D19+D20</f>
        <v>3648</v>
      </c>
      <c r="L7" s="229">
        <f>+F19+F20</f>
        <v>25500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IF(DigitaREVENTADO!C12&lt;&gt;"",DigitaREVENTADO!C12,"")</f>
        <v>1100</v>
      </c>
      <c r="D8" s="42">
        <f>IF(C8="",0,C8*J$13)</f>
        <v>110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990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12</v>
      </c>
      <c r="C9" s="29">
        <f>IF(DigitaNICA!E12&lt;&gt;"",DigitaNICA!E12,"")</f>
        <v>3000</v>
      </c>
      <c r="D9" s="42">
        <f>IF(C9="",0,C9*J$12)</f>
        <v>360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2640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6" t="s">
        <v>34</v>
      </c>
      <c r="J10" s="286"/>
      <c r="K10" s="286"/>
    </row>
    <row r="11" spans="1:12" x14ac:dyDescent="0.35">
      <c r="A11" s="28" t="s">
        <v>59</v>
      </c>
      <c r="B11" s="133">
        <f>IF(DigitaTICA!E2&lt;&gt;"",DigitaTICA!E2,"")</f>
        <v>26</v>
      </c>
      <c r="C11" s="29">
        <f>IF(DigitaTICA!E12&lt;&gt;"",DigitaTICA!E12,"")</f>
        <v>19350</v>
      </c>
      <c r="D11" s="42">
        <f>IF(C11="",0,C11*J$11)</f>
        <v>2322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17028</v>
      </c>
      <c r="I11" s="60" t="s">
        <v>36</v>
      </c>
      <c r="J11" s="61">
        <v>0.12</v>
      </c>
      <c r="K11" s="62">
        <f>MROUND(D7+D11+D15,50)</f>
        <v>8150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1700</v>
      </c>
      <c r="D12" s="42">
        <f>IF(C12="",0,C12*J$13)</f>
        <v>170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1530</v>
      </c>
      <c r="I12" s="63" t="s">
        <v>37</v>
      </c>
      <c r="J12" s="64">
        <v>0.12</v>
      </c>
      <c r="K12" s="30">
        <f>MROUND(D5+D9+D13+D17,50)</f>
        <v>4800</v>
      </c>
    </row>
    <row r="13" spans="1:12" x14ac:dyDescent="0.35">
      <c r="A13" s="28" t="s">
        <v>50</v>
      </c>
      <c r="B13" s="133">
        <f>IF(DigitaNICA!G2&lt;&gt;"",DigitaNICA!G2,"")</f>
        <v>55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3650</v>
      </c>
    </row>
    <row r="15" spans="1:12" ht="15" thickBot="1" x14ac:dyDescent="0.4">
      <c r="A15" s="28" t="s">
        <v>61</v>
      </c>
      <c r="B15" s="133">
        <f>IF(DigitaTICA!G2&lt;&gt;"",DigitaTICA!G2,"")</f>
        <v>10</v>
      </c>
      <c r="C15" s="29">
        <f>IF(DigitaTICA!G12&lt;&gt;"",DigitaTICA!G12,"")</f>
        <v>13900</v>
      </c>
      <c r="D15" s="42">
        <f>IF(C15="",0,C15*J$11)</f>
        <v>1668</v>
      </c>
      <c r="E15" s="29">
        <f>IF(DigitaTICA!H12&lt;&gt;"",DigitaTICA!H12,"")</f>
        <v>400</v>
      </c>
      <c r="F15" s="42">
        <f>IF(E15="",0,E15*PREMIOS!F15)</f>
        <v>34000</v>
      </c>
      <c r="G15" s="30">
        <f t="shared" si="3"/>
        <v>-21768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IF(DigitaREVENTADO!G12&lt;&gt;"",DigitaREVENTADO!G12,"")</f>
        <v>1000</v>
      </c>
      <c r="D16" s="42">
        <f>IF(C16="",0,C16*J$13)</f>
        <v>100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3">
        <f>IF(DigitaNICA!I2&lt;&gt;"",DigitaNICA!I2,"")</f>
        <v>41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61</v>
      </c>
      <c r="C19" s="29">
        <f>IF(DigitaPRIMERA!$C$12&lt;&gt;"",DigitaPRIMERA!$C$12,"")</f>
        <v>30400</v>
      </c>
      <c r="D19" s="42">
        <f>IF(C19="",0,C19*J$14)</f>
        <v>3648</v>
      </c>
      <c r="E19" s="29">
        <f>IF(DigitaPRIMERA!$D$12&lt;&gt;"",DigitaPRIMERA!$D$12,"")</f>
        <v>300</v>
      </c>
      <c r="F19" s="42">
        <f>IF(E19="",0,E19*PREMIOS!F19)</f>
        <v>25500</v>
      </c>
      <c r="G19" s="30">
        <f t="shared" si="3"/>
        <v>1252</v>
      </c>
    </row>
    <row r="20" spans="1:7" x14ac:dyDescent="0.35">
      <c r="A20" s="28" t="s">
        <v>98</v>
      </c>
      <c r="B20" s="133">
        <f>IF(DigitaPRIMERA!E2&lt;&gt;"",DigitaPRIMERA!E2,"")</f>
        <v>88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60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36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29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142100</v>
      </c>
      <c r="D24" s="68">
        <f t="shared" ref="D24:G24" si="4">SUM(D5:D23)</f>
        <v>16976</v>
      </c>
      <c r="E24" s="68">
        <f t="shared" si="4"/>
        <v>1200</v>
      </c>
      <c r="F24" s="68">
        <f t="shared" si="4"/>
        <v>102000</v>
      </c>
      <c r="G24" s="89">
        <f t="shared" si="4"/>
        <v>23124</v>
      </c>
    </row>
    <row r="27" spans="1:7" x14ac:dyDescent="0.35">
      <c r="G27" s="21">
        <v>239688</v>
      </c>
    </row>
    <row r="28" spans="1:7" x14ac:dyDescent="0.35">
      <c r="G28" s="142">
        <f>+G24+G27</f>
        <v>262812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">
        <v>57</v>
      </c>
      <c r="C2" s="284"/>
      <c r="D2" s="285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73600</v>
      </c>
      <c r="K4" s="233">
        <f t="shared" ref="K4" si="0">D7+D11+D15</f>
        <v>8832</v>
      </c>
      <c r="L4" s="222">
        <f>F7+F11+F15</f>
        <v>114750</v>
      </c>
    </row>
    <row r="5" spans="1:12" ht="15" thickBot="1" x14ac:dyDescent="0.4">
      <c r="A5" s="28" t="s">
        <v>43</v>
      </c>
      <c r="B5" s="133">
        <f>IF(DigitaNICA!C2&lt;&gt;"",DigitaNICA!C2,"")</f>
        <v>63</v>
      </c>
      <c r="C5" s="29">
        <f>IF(DigitaNICA!C13&lt;&gt;"",DigitaNICA!C13,"")</f>
        <v>20050</v>
      </c>
      <c r="D5" s="42">
        <f>IF(C5="",0,C5*J$10)</f>
        <v>2406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17644</v>
      </c>
      <c r="I5" s="220" t="s">
        <v>37</v>
      </c>
      <c r="J5" s="234">
        <f>SUM(IF(C5="",0,C5),IF(C9="",0,C9),IF(C13="",0,C13),IF(C17="",0,C17))</f>
        <v>44850</v>
      </c>
      <c r="K5" s="235">
        <f t="shared" ref="K5" si="2">D5+D9+D13+D17</f>
        <v>5382</v>
      </c>
      <c r="L5" s="236">
        <f>F5+F9+F13+F17</f>
        <v>280000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>
        <f>IF(DigitaTICA!C13&lt;&gt;"",DigitaTICA!C13,"")</f>
        <v>18400</v>
      </c>
      <c r="D7" s="42">
        <f>IF(C7="",0,C7*J$9)</f>
        <v>2208</v>
      </c>
      <c r="E7" s="29">
        <f>IF(DigitaTICA!D13&lt;&gt;"",DigitaTICA!D13,"")</f>
        <v>300</v>
      </c>
      <c r="F7" s="134">
        <f>IF(E7="",0,E7*PREMIOS!F7)</f>
        <v>25500</v>
      </c>
      <c r="G7" s="30">
        <f t="shared" si="1"/>
        <v>-9308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6" t="s">
        <v>34</v>
      </c>
      <c r="J8" s="286"/>
      <c r="K8" s="286"/>
    </row>
    <row r="9" spans="1:12" x14ac:dyDescent="0.35">
      <c r="A9" s="28" t="s">
        <v>48</v>
      </c>
      <c r="B9" s="133">
        <f>IF(DigitaNICA!E2&lt;&gt;"",DigitaNICA!E2,"")</f>
        <v>12</v>
      </c>
      <c r="C9" s="29">
        <f>IF(DigitaNICA!E13&lt;&gt;"",DigitaNICA!E13,"")</f>
        <v>15300</v>
      </c>
      <c r="D9" s="42">
        <f>IF(C9="",0,C9*J$10)</f>
        <v>1836</v>
      </c>
      <c r="E9" s="29">
        <f>IF(DigitaNICA!F13&lt;&gt;"",DigitaNICA!F13,"")</f>
        <v>3200</v>
      </c>
      <c r="F9" s="134">
        <f>IF(E9="",0,E9*PREMIOS!E9)</f>
        <v>256000</v>
      </c>
      <c r="G9" s="30">
        <f t="shared" si="1"/>
        <v>-242536</v>
      </c>
      <c r="I9" s="60" t="s">
        <v>36</v>
      </c>
      <c r="J9" s="61">
        <v>0.12</v>
      </c>
      <c r="K9" s="62">
        <f>MROUND(D7+D11+D15,50)</f>
        <v>8850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5400</v>
      </c>
    </row>
    <row r="11" spans="1:12" ht="15" thickBot="1" x14ac:dyDescent="0.4">
      <c r="A11" s="28" t="s">
        <v>59</v>
      </c>
      <c r="B11" s="133">
        <f>IF(DigitaTICA!E2&lt;&gt;"",DigitaTICA!E2,"")</f>
        <v>26</v>
      </c>
      <c r="C11" s="29">
        <f>IF(DigitaTICA!E13&lt;&gt;"",DigitaTICA!E13,"")</f>
        <v>23650</v>
      </c>
      <c r="D11" s="42">
        <f>IF(C11="",0,C11*J$9)</f>
        <v>2838</v>
      </c>
      <c r="E11" s="29">
        <f>IF(DigitaTICA!F13&lt;&gt;"",DigitaTICA!F13,"")</f>
        <v>150</v>
      </c>
      <c r="F11" s="134">
        <f>IF(E11="",0,E11*PREMIOS!F11)</f>
        <v>12750</v>
      </c>
      <c r="G11" s="30">
        <f t="shared" si="1"/>
        <v>8062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55</v>
      </c>
      <c r="C13" s="29">
        <f>IF(DigitaNICA!G13&lt;&gt;"",DigitaNICA!G13,"")</f>
        <v>4000</v>
      </c>
      <c r="D13" s="42">
        <f>IF(C13="",0,C13*J$10)</f>
        <v>480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3520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10</v>
      </c>
      <c r="C15" s="29">
        <f>IF(DigitaTICA!G13&lt;&gt;"",DigitaTICA!G13,"")</f>
        <v>31550</v>
      </c>
      <c r="D15" s="42">
        <f>IF(C15="",0,C15*J$9)</f>
        <v>3786</v>
      </c>
      <c r="E15" s="29">
        <f>IF(DigitaTICA!H13&lt;&gt;"",DigitaTICA!H13,"")</f>
        <v>900</v>
      </c>
      <c r="F15" s="134">
        <f>IF(E15="",0,E15*PREMIOS!F15)</f>
        <v>76500</v>
      </c>
      <c r="G15" s="30">
        <f t="shared" si="3"/>
        <v>-48736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41</v>
      </c>
      <c r="C17" s="29">
        <f>IF(DigitaNICA!I13&lt;&gt;"",DigitaNICA!I13,"")</f>
        <v>5500</v>
      </c>
      <c r="D17" s="42">
        <f>IF(C17="",0,C17*J$10)</f>
        <v>660</v>
      </c>
      <c r="E17" s="29">
        <f>IF(DigitaNICA!J13&lt;&gt;"",DigitaNICA!J13,"")</f>
        <v>300</v>
      </c>
      <c r="F17" s="42">
        <f>IF(E17="",0,E17*PREMIOS!E17)</f>
        <v>24000</v>
      </c>
      <c r="G17" s="30">
        <f t="shared" si="3"/>
        <v>-19160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118450</v>
      </c>
      <c r="D19" s="68">
        <f>MROUND(SUM(D5:D18),50)</f>
        <v>14200</v>
      </c>
      <c r="E19" s="68">
        <f>SUM(E5:E18)</f>
        <v>4850</v>
      </c>
      <c r="F19" s="68">
        <f>SUM(F5:F18)</f>
        <v>394750</v>
      </c>
      <c r="G19" s="89">
        <f>SUM(G5:G18)</f>
        <v>-290514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">
        <v>54</v>
      </c>
      <c r="C2" s="284"/>
      <c r="D2" s="285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117450</v>
      </c>
      <c r="K4" s="238">
        <f t="shared" ref="K4" si="0">D7+D11+D15</f>
        <v>17617.5</v>
      </c>
      <c r="L4" s="239">
        <f>F7+F11+F15</f>
        <v>160000</v>
      </c>
    </row>
    <row r="5" spans="1:12" x14ac:dyDescent="0.35">
      <c r="A5" s="28" t="s">
        <v>43</v>
      </c>
      <c r="B5" s="133">
        <f>IF(DigitaNICA!C2&lt;&gt;"",DigitaNICA!C2,"")</f>
        <v>63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>
        <f>IF(DigitaTICA!C14&lt;&gt;"",DigitaTICA!C14,"")</f>
        <v>46100</v>
      </c>
      <c r="D7" s="42">
        <f>IF(C7="",0,C7*J$9)</f>
        <v>6915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39185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6" t="s">
        <v>34</v>
      </c>
      <c r="J8" s="286"/>
      <c r="K8" s="286"/>
    </row>
    <row r="9" spans="1:12" x14ac:dyDescent="0.35">
      <c r="A9" s="28" t="s">
        <v>48</v>
      </c>
      <c r="B9" s="133">
        <f>IF(DigitaNICA!E2&lt;&gt;"",DigitaNICA!E2,"")</f>
        <v>12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17600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26</v>
      </c>
      <c r="C11" s="29">
        <f>IF(DigitaTICA!E14&lt;&gt;"",DigitaTICA!E14,"")</f>
        <v>24400</v>
      </c>
      <c r="D11" s="42">
        <f>IF(C11="",0,C11*J$9)</f>
        <v>3660</v>
      </c>
      <c r="E11" s="29">
        <f>IF(DigitaTICA!F14&lt;&gt;"",DigitaTICA!F14,"")</f>
        <v>700</v>
      </c>
      <c r="F11" s="42">
        <f>IF(E11="",0,E11*PREMIOS!E11)</f>
        <v>56000</v>
      </c>
      <c r="G11" s="30">
        <f t="shared" si="1"/>
        <v>-35260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55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10</v>
      </c>
      <c r="C15" s="29">
        <f>IF(DigitaTICA!G14&lt;&gt;"",DigitaTICA!G14,"")</f>
        <v>46950</v>
      </c>
      <c r="D15" s="42">
        <f>IF(C15="",0,C15*J$9)</f>
        <v>7042.5</v>
      </c>
      <c r="E15" s="29">
        <f>IF(DigitaTICA!H14&lt;&gt;"",DigitaTICA!H14,"")</f>
        <v>1300</v>
      </c>
      <c r="F15" s="42">
        <f>IF(E15="",0,E15*PREMIOS!E15)</f>
        <v>104000</v>
      </c>
      <c r="G15" s="30">
        <f t="shared" si="2"/>
        <v>-64092.5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41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117450</v>
      </c>
      <c r="D19" s="68">
        <f>MROUND(SUM(D5:D18),50)</f>
        <v>17600</v>
      </c>
      <c r="E19" s="68">
        <f>SUM(E5:E18)</f>
        <v>2000</v>
      </c>
      <c r="F19" s="68">
        <f>SUM(F5:F18)</f>
        <v>160000</v>
      </c>
      <c r="G19" s="89">
        <f>SUM(G5:G18)</f>
        <v>-60167.5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">
        <v>55</v>
      </c>
      <c r="C2" s="284"/>
      <c r="D2" s="285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41650</v>
      </c>
      <c r="K4" s="233">
        <f t="shared" ref="K4" si="0">D7+D11+D15</f>
        <v>4165</v>
      </c>
      <c r="L4" s="222">
        <f>F7+F11+F15</f>
        <v>289000</v>
      </c>
    </row>
    <row r="5" spans="1:12" ht="15" thickBot="1" x14ac:dyDescent="0.4">
      <c r="A5" s="28" t="s">
        <v>43</v>
      </c>
      <c r="B5" s="133">
        <f>IF(DigitaNICA!C2&lt;&gt;"",DigitaNICA!C2,"")</f>
        <v>63</v>
      </c>
      <c r="C5" s="29">
        <f>IF(DigitaNICA!C15&lt;&gt;"",DigitaNICA!C15,"")</f>
        <v>25400</v>
      </c>
      <c r="D5" s="42">
        <f>IF(C5="",0,C5*J$10)</f>
        <v>3048</v>
      </c>
      <c r="E5" s="29">
        <f>IF(DigitaNICA!D15&lt;&gt;"",DigitaNICA!D15,"")</f>
        <v>0</v>
      </c>
      <c r="F5" s="134">
        <f>IF(E5="",0,E5*PREMIOS!E5)</f>
        <v>0</v>
      </c>
      <c r="G5" s="30">
        <f t="shared" ref="G5:G12" si="1">IF(OR(C5="",E5=""),0,C5-D5-F5)</f>
        <v>22352</v>
      </c>
      <c r="I5" s="220" t="s">
        <v>37</v>
      </c>
      <c r="J5" s="234">
        <f>SUM(IF(C5="",0,C5),IF(C9="",0,C9),IF(C13="",0,C13),IF(C17="",0,C17))</f>
        <v>60000</v>
      </c>
      <c r="K5" s="235">
        <f t="shared" ref="K5" si="2">D5+D9+D13+D17</f>
        <v>7200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6" t="s">
        <v>34</v>
      </c>
      <c r="J8" s="286"/>
      <c r="K8" s="286"/>
    </row>
    <row r="9" spans="1:12" x14ac:dyDescent="0.35">
      <c r="A9" s="28" t="s">
        <v>48</v>
      </c>
      <c r="B9" s="133">
        <f>IF(DigitaNICA!E2&lt;&gt;"",DigitaNICA!E2,"")</f>
        <v>12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4150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7200</v>
      </c>
    </row>
    <row r="11" spans="1:12" ht="15" thickBot="1" x14ac:dyDescent="0.4">
      <c r="A11" s="28" t="s">
        <v>59</v>
      </c>
      <c r="B11" s="133">
        <f>IF(DigitaTICA!E2&lt;&gt;"",DigitaTICA!E2,"")</f>
        <v>26</v>
      </c>
      <c r="C11" s="29">
        <f>IF(DigitaTICA!E15&lt;&gt;"",DigitaTICA!E15,"")</f>
        <v>13750</v>
      </c>
      <c r="D11" s="42">
        <f>IF(C11="",0,C11*J$9)</f>
        <v>1375</v>
      </c>
      <c r="E11" s="29">
        <f>IF(DigitaTICA!F15&lt;&gt;"",DigitaTICA!F15,"")</f>
        <v>0</v>
      </c>
      <c r="F11" s="134">
        <f>IF(E11="",0,E11*PREMIOS!F11)</f>
        <v>0</v>
      </c>
      <c r="G11" s="30">
        <f t="shared" si="1"/>
        <v>12375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55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10</v>
      </c>
      <c r="C15" s="29">
        <f>IF(DigitaTICA!G15&lt;&gt;"",DigitaTICA!G15,"")</f>
        <v>27900</v>
      </c>
      <c r="D15" s="42">
        <f>IF(C15="",0,C15*J$9)</f>
        <v>2790</v>
      </c>
      <c r="E15" s="29">
        <f>IF(DigitaTICA!H15&lt;&gt;"",DigitaTICA!H15,"")</f>
        <v>3400</v>
      </c>
      <c r="F15" s="134">
        <f>IF(E15="",0,E15*PREMIOS!F15)</f>
        <v>289000</v>
      </c>
      <c r="G15" s="30">
        <f t="shared" si="3"/>
        <v>-263890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41</v>
      </c>
      <c r="C17" s="29">
        <f>IF(DigitaNICA!I15&lt;&gt;"",DigitaNICA!I15,"")</f>
        <v>34600</v>
      </c>
      <c r="D17" s="42">
        <f>IF(C17="",0,C17*J$10)</f>
        <v>4152</v>
      </c>
      <c r="E17" s="29">
        <f>IF(DigitaNICA!J15&lt;&gt;"",DigitaNICA!J15,"")</f>
        <v>0</v>
      </c>
      <c r="F17" s="134">
        <f>IF(E17="",0,E17*PREMIOS!E17)</f>
        <v>0</v>
      </c>
      <c r="G17" s="30">
        <f t="shared" si="3"/>
        <v>30448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101650</v>
      </c>
      <c r="D19" s="68">
        <f>MROUND(SUM(D5:D18),50)</f>
        <v>11350</v>
      </c>
      <c r="E19" s="68">
        <f>SUM(E5:E18)</f>
        <v>3400</v>
      </c>
      <c r="F19" s="68">
        <f>SUM(F5:F18)</f>
        <v>289000</v>
      </c>
      <c r="G19" s="89">
        <f>SUM(G5:G18)</f>
        <v>-198715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MINERO</v>
      </c>
      <c r="C2" s="284"/>
      <c r="D2" s="285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71050</v>
      </c>
      <c r="K4" s="233">
        <f>D7+D11+D15</f>
        <v>8526</v>
      </c>
      <c r="L4" s="222">
        <f>F7+F11+F15</f>
        <v>21250</v>
      </c>
    </row>
    <row r="5" spans="1:12" x14ac:dyDescent="0.35">
      <c r="A5" s="28" t="s">
        <v>43</v>
      </c>
      <c r="B5" s="133">
        <f>IF(DigitaNICA!C2&lt;&gt;"",DigitaNICA!C2,"")</f>
        <v>63</v>
      </c>
      <c r="C5" s="29">
        <f>IF(DigitaNICA!C16&lt;&gt;"",DigitaNICA!C16,"")</f>
        <v>22100</v>
      </c>
      <c r="D5" s="42">
        <f>IF(C5="",0,C5*J$12)</f>
        <v>2652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19448</v>
      </c>
      <c r="I5" s="219" t="s">
        <v>37</v>
      </c>
      <c r="J5" s="223">
        <f>SUM(IF(C5="",0,C5),IF(C9="",0,C9),IF(C13="",0,C13),IF(C17="",0,C17))</f>
        <v>60850</v>
      </c>
      <c r="K5" s="227">
        <f t="shared" ref="K5" si="1">D5+D9+D13+D17</f>
        <v>7302</v>
      </c>
      <c r="L5" s="224">
        <f>F5+F9+F13+F17</f>
        <v>136000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0</v>
      </c>
      <c r="K6" s="228">
        <f t="shared" ref="K6" si="2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>
        <f>IF(DigitaTICA!C16&lt;&gt;"",DigitaTICA!C16,"")</f>
        <v>15800</v>
      </c>
      <c r="D7" s="42">
        <f>IF(C7="",0,C7*J$11)</f>
        <v>1896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13904</v>
      </c>
      <c r="I7" s="220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>
        <f>IF(DigitaNICA!E2&lt;&gt;"",DigitaNICA!E2,"")</f>
        <v>12</v>
      </c>
      <c r="C9" s="29">
        <f>IF(DigitaNICA!E16&lt;&gt;"",DigitaNICA!E16,"")</f>
        <v>8500</v>
      </c>
      <c r="D9" s="42">
        <f>IF(C9="",0,C9*J$12)</f>
        <v>1020</v>
      </c>
      <c r="E9" s="29">
        <f>IF(DigitaNICA!F16&lt;&gt;"",DigitaNICA!F16,"")</f>
        <v>1700</v>
      </c>
      <c r="F9" s="134">
        <f>IF(E9="",0,E9*PREMIOS!E9)</f>
        <v>136000</v>
      </c>
      <c r="G9" s="30">
        <f t="shared" si="0"/>
        <v>-128520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26</v>
      </c>
      <c r="C11" s="29">
        <f>IF(DigitaTICA!E16&lt;&gt;"",DigitaTICA!E16,"")</f>
        <v>21550</v>
      </c>
      <c r="D11" s="42">
        <f>IF(C11="",0,C11*J$11)</f>
        <v>2586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18964</v>
      </c>
      <c r="I11" s="77" t="s">
        <v>36</v>
      </c>
      <c r="J11" s="78">
        <v>0.12</v>
      </c>
      <c r="K11" s="79">
        <f>MROUND(D7+D11+D15,50)</f>
        <v>8550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7300</v>
      </c>
    </row>
    <row r="13" spans="1:12" x14ac:dyDescent="0.35">
      <c r="A13" s="28" t="s">
        <v>50</v>
      </c>
      <c r="B13" s="133">
        <f>IF(DigitaNICA!G2&lt;&gt;"",DigitaNICA!G2,"")</f>
        <v>55</v>
      </c>
      <c r="C13" s="29">
        <f>IF(DigitaNICA!G16&lt;&gt;"",DigitaNICA!G16,"")</f>
        <v>14000</v>
      </c>
      <c r="D13" s="42">
        <f>IF(C13="",0,C13*J$12)</f>
        <v>1680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12320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10</v>
      </c>
      <c r="C15" s="29">
        <f>IF(DigitaTICA!G16&lt;&gt;"",DigitaTICA!G16,"")</f>
        <v>33700</v>
      </c>
      <c r="D15" s="42">
        <f>IF(C15="",0,C15*J$11)</f>
        <v>4044</v>
      </c>
      <c r="E15" s="29">
        <f>IF(DigitaTICA!H16&lt;&gt;"",DigitaTICA!H16,"")</f>
        <v>250</v>
      </c>
      <c r="F15" s="134">
        <f>IF(E15="",0,E15*PREMIOS!F15)</f>
        <v>21250</v>
      </c>
      <c r="G15" s="30">
        <f t="shared" si="3"/>
        <v>8406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41</v>
      </c>
      <c r="C17" s="29">
        <f>IF(DigitaNICA!I16&lt;&gt;"",DigitaNICA!I16,"")</f>
        <v>16250</v>
      </c>
      <c r="D17" s="42">
        <f>IF(C17="",0,C17*J$12)</f>
        <v>1950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14300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61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88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122" t="s">
        <v>5</v>
      </c>
      <c r="B21" s="129"/>
      <c r="C21" s="123">
        <f>SUM(C5:C20)</f>
        <v>131900</v>
      </c>
      <c r="D21" s="123">
        <f t="shared" ref="D21:G21" si="4">SUM(D5:D20)</f>
        <v>15828</v>
      </c>
      <c r="E21" s="123">
        <f t="shared" si="4"/>
        <v>1950</v>
      </c>
      <c r="F21" s="123">
        <f t="shared" si="4"/>
        <v>157250</v>
      </c>
      <c r="G21" s="124">
        <f t="shared" si="4"/>
        <v>-41178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">
        <v>91</v>
      </c>
      <c r="C2" s="284"/>
      <c r="D2" s="285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415650</v>
      </c>
      <c r="K4" s="233">
        <f t="shared" ref="K4" si="0">D7+D11+D15</f>
        <v>49878</v>
      </c>
      <c r="L4" s="222">
        <f>F7+F11+F15</f>
        <v>480250</v>
      </c>
    </row>
    <row r="5" spans="1:12" x14ac:dyDescent="0.35">
      <c r="A5" s="28" t="s">
        <v>43</v>
      </c>
      <c r="B5" s="133">
        <f>IF(DigitaNICA!C2&lt;&gt;"",DigitaNICA!C2,"")</f>
        <v>63</v>
      </c>
      <c r="C5" s="90">
        <f>IF(DigitaNICA!C17&lt;&gt;"",DigitaNICA!C17,"")</f>
        <v>156850</v>
      </c>
      <c r="D5" s="42">
        <f>IF(C5="",0,C5*J$16)</f>
        <v>18822</v>
      </c>
      <c r="E5" s="90">
        <f>IF(DigitaNICA!D17&lt;&gt;"",DigitaNICA!D17,"")</f>
        <v>1250</v>
      </c>
      <c r="F5" s="42">
        <f>IF(E5="",0,E5*PREMIOS!F5)</f>
        <v>106250</v>
      </c>
      <c r="G5" s="91">
        <f t="shared" ref="G5:G12" si="1">IF(OR(C5="",E5=""),0,C5-D5-F5)</f>
        <v>31778</v>
      </c>
      <c r="I5" s="219" t="s">
        <v>37</v>
      </c>
      <c r="J5" s="223">
        <f>SUM(IF(C5="",0,C5),IF(C9="",0,C9),IF(C13="",0,C13),IF(C17="",0,C17))</f>
        <v>530750</v>
      </c>
      <c r="K5" s="227">
        <f t="shared" ref="K5" si="2">D5+D9+D13+D17</f>
        <v>63690</v>
      </c>
      <c r="L5" s="224">
        <f>F5+F9+F13+F17</f>
        <v>442000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60350</v>
      </c>
      <c r="K6" s="228">
        <f t="shared" ref="K6" si="3">+D8+D12+D16</f>
        <v>6035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97</v>
      </c>
      <c r="C7" s="90">
        <f>IF(DigitaTICA!C17&lt;&gt;"",DigitaTICA!C17,"")</f>
        <v>104500</v>
      </c>
      <c r="D7" s="42">
        <f>IF(C7="",0,C7*J$15)</f>
        <v>12540</v>
      </c>
      <c r="E7" s="90">
        <f>IF(DigitaTICA!D17&lt;&gt;"",DigitaTICA!D17,"")</f>
        <v>400</v>
      </c>
      <c r="F7" s="42">
        <f>IF(E7="",0,E7*PREMIOS!F7)</f>
        <v>34000</v>
      </c>
      <c r="G7" s="91">
        <f t="shared" si="1"/>
        <v>57960</v>
      </c>
      <c r="I7" s="219" t="s">
        <v>96</v>
      </c>
      <c r="J7" s="225">
        <f>SUM(IF(C19="",0,C19),IF(C20="",0,C20))</f>
        <v>124300</v>
      </c>
      <c r="K7" s="228">
        <f>+D19+D20</f>
        <v>14916</v>
      </c>
      <c r="L7" s="229">
        <f>+F19+F20</f>
        <v>68000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18500</v>
      </c>
      <c r="D8" s="42">
        <f>IF(C8="",0,C8*J$17)</f>
        <v>1850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16650</v>
      </c>
      <c r="I8" s="219" t="s">
        <v>104</v>
      </c>
      <c r="J8" s="225">
        <f>SUM(IF(C21="",0,C21),IF(C22="",0,C22),IF(C23="",0,C23))</f>
        <v>131600</v>
      </c>
      <c r="K8" s="228">
        <f t="shared" ref="K8" si="4">D21+D22+D23</f>
        <v>15792</v>
      </c>
      <c r="L8" s="229">
        <f>F21+F22+F23</f>
        <v>114750</v>
      </c>
    </row>
    <row r="9" spans="1:12" x14ac:dyDescent="0.35">
      <c r="A9" s="28" t="s">
        <v>48</v>
      </c>
      <c r="B9" s="133">
        <f>IF(DigitaNICA!E2&lt;&gt;"",DigitaNICA!E2,"")</f>
        <v>12</v>
      </c>
      <c r="C9" s="90">
        <f>IF(DigitaNICA!E17&lt;&gt;"",DigitaNICA!E17,"")</f>
        <v>70250</v>
      </c>
      <c r="D9" s="42">
        <f>IF(C9="",0,C9*J$16)</f>
        <v>8430</v>
      </c>
      <c r="E9" s="90">
        <f>IF(DigitaNICA!F17&lt;&gt;"",DigitaNICA!F17,"")</f>
        <v>1350</v>
      </c>
      <c r="F9" s="42">
        <f>IF(E9="",0,E9*PREMIOS!F9)</f>
        <v>114750</v>
      </c>
      <c r="G9" s="91">
        <f t="shared" si="1"/>
        <v>-52930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26</v>
      </c>
      <c r="C11" s="90">
        <f>IF(DigitaTICA!E17&lt;&gt;"",DigitaTICA!E17,"")</f>
        <v>100750</v>
      </c>
      <c r="D11" s="42">
        <f>IF(C11="",0,C11*J$15)</f>
        <v>12090</v>
      </c>
      <c r="E11" s="90">
        <f>IF(DigitaTICA!F17&lt;&gt;"",DigitaTICA!F17,"")</f>
        <v>700</v>
      </c>
      <c r="F11" s="42">
        <f>IF(E11="",0,E11*PREMIOS!F11)</f>
        <v>59500</v>
      </c>
      <c r="G11" s="91">
        <f t="shared" si="1"/>
        <v>29160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9850</v>
      </c>
      <c r="D12" s="42">
        <f>IF(C12="",0,C12*J$17)</f>
        <v>985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8865</v>
      </c>
    </row>
    <row r="13" spans="1:12" ht="15" thickBot="1" x14ac:dyDescent="0.4">
      <c r="A13" s="28" t="s">
        <v>50</v>
      </c>
      <c r="B13" s="133">
        <f>IF(DigitaNICA!G2&lt;&gt;"",DigitaNICA!G2,"")</f>
        <v>55</v>
      </c>
      <c r="C13" s="90">
        <f>IF(DigitaNICA!G17&lt;&gt;"",DigitaNICA!G17,"")</f>
        <v>79500</v>
      </c>
      <c r="D13" s="42">
        <f>IF(C13="",0,C13*J$16)</f>
        <v>9540</v>
      </c>
      <c r="E13" s="90">
        <f>IF(DigitaNICA!H17&lt;&gt;"",DigitaNICA!H17,"")</f>
        <v>900</v>
      </c>
      <c r="F13" s="42">
        <f>IF(E13="",0,E13*PREMIOS!F13)</f>
        <v>76500</v>
      </c>
      <c r="G13" s="91">
        <f>IF(OR(C13="",E13=""),0,C13-D13-F13)</f>
        <v>-6540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3" t="s">
        <v>34</v>
      </c>
      <c r="J14" s="283"/>
      <c r="K14" s="283"/>
    </row>
    <row r="15" spans="1:12" x14ac:dyDescent="0.35">
      <c r="A15" s="28" t="s">
        <v>61</v>
      </c>
      <c r="B15" s="133">
        <f>IF(DigitaTICA!G2&lt;&gt;"",DigitaTICA!G2,"")</f>
        <v>10</v>
      </c>
      <c r="C15" s="90">
        <f>IF(DigitaTICA!G17&lt;&gt;"",DigitaTICA!G17,"")</f>
        <v>210400</v>
      </c>
      <c r="D15" s="42">
        <f>IF(C15="",0,C15*J$15)</f>
        <v>25248</v>
      </c>
      <c r="E15" s="90">
        <f>IF(DigitaTICA!H17&lt;&gt;"",DigitaTICA!H17,"")</f>
        <v>4550</v>
      </c>
      <c r="F15" s="42">
        <f>IF(E15="",0,E15*PREMIOS!F15)</f>
        <v>386750</v>
      </c>
      <c r="G15" s="91">
        <f t="shared" si="6"/>
        <v>-201598</v>
      </c>
      <c r="I15" s="77" t="s">
        <v>36</v>
      </c>
      <c r="J15" s="78">
        <v>0.12</v>
      </c>
      <c r="K15" s="79">
        <f>MROUND(D7+D11+D15,50)</f>
        <v>49900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32000</v>
      </c>
      <c r="D16" s="42">
        <f>IF(C16="",0,C16*J$17)</f>
        <v>3200</v>
      </c>
      <c r="E16" s="90">
        <f>IF(DigitaREVENTADO!H17&lt;&gt;"",DigitaREVENTADO!H17,"")</f>
        <v>400</v>
      </c>
      <c r="F16" s="42">
        <f>IF(E16="",0,E16*PREMIOS!F16)</f>
        <v>0</v>
      </c>
      <c r="G16" s="91">
        <f t="shared" si="6"/>
        <v>28800</v>
      </c>
      <c r="I16" s="63" t="s">
        <v>37</v>
      </c>
      <c r="J16" s="64">
        <v>0.12</v>
      </c>
      <c r="K16" s="30">
        <f>MROUND(D5+D9+D13+D17,50)</f>
        <v>63700</v>
      </c>
    </row>
    <row r="17" spans="1:11" x14ac:dyDescent="0.35">
      <c r="A17" s="28" t="s">
        <v>52</v>
      </c>
      <c r="B17" s="133">
        <f>IF(DigitaNICA!I2&lt;&gt;"",DigitaNICA!I2,"")</f>
        <v>41</v>
      </c>
      <c r="C17" s="90">
        <f>IF(DigitaNICA!I17&lt;&gt;"",DigitaNICA!I17,"")</f>
        <v>224150</v>
      </c>
      <c r="D17" s="42">
        <f>IF(C17="",0,C17*J$16)</f>
        <v>26898</v>
      </c>
      <c r="E17" s="90">
        <f>IF(DigitaNICA!J17&lt;&gt;"",DigitaNICA!J17,"")</f>
        <v>1700</v>
      </c>
      <c r="F17" s="42">
        <f>IF(E17="",0,E17*PREMIOS!F17)</f>
        <v>144500</v>
      </c>
      <c r="G17" s="91">
        <f t="shared" si="6"/>
        <v>52752</v>
      </c>
      <c r="I17" s="63" t="s">
        <v>38</v>
      </c>
      <c r="J17" s="64">
        <v>0.1</v>
      </c>
      <c r="K17" s="30">
        <f>MROUND(D6+D8+D10+D12+D14+D16+D18,50)</f>
        <v>6050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14900</v>
      </c>
    </row>
    <row r="19" spans="1:11" x14ac:dyDescent="0.35">
      <c r="A19" s="28" t="s">
        <v>97</v>
      </c>
      <c r="B19" s="133">
        <f>IF(DigitaPRIMERA!C2&lt;&gt;"",DigitaPRIMERA!C2,"")</f>
        <v>61</v>
      </c>
      <c r="C19" s="29">
        <f>IF(DigitaPRIMERA!$C$17&lt;&gt;"",DigitaPRIMERA!$C$17,"")</f>
        <v>81600</v>
      </c>
      <c r="D19" s="42">
        <f>IF(C19="",0,C19*J$18)</f>
        <v>9792</v>
      </c>
      <c r="E19" s="29">
        <f>IF(DigitaPRIMERA!$D$17&lt;&gt;"",DigitaPRIMERA!$D$17,"")</f>
        <v>800</v>
      </c>
      <c r="F19" s="42">
        <f>IF(E19="",0,E19*PREMIOS!F19)</f>
        <v>68000</v>
      </c>
      <c r="G19" s="30">
        <f t="shared" si="6"/>
        <v>3808</v>
      </c>
      <c r="I19" s="63" t="s">
        <v>104</v>
      </c>
      <c r="J19" s="64">
        <v>0.12</v>
      </c>
      <c r="K19" s="30">
        <f>MROUND(D21+D22+D23,50)</f>
        <v>15800</v>
      </c>
    </row>
    <row r="20" spans="1:11" x14ac:dyDescent="0.35">
      <c r="A20" s="28" t="s">
        <v>98</v>
      </c>
      <c r="B20" s="133">
        <f>IF(DigitaPRIMERA!E2&lt;&gt;"",DigitaPRIMERA!E2,"")</f>
        <v>88</v>
      </c>
      <c r="C20" s="29">
        <f>IF(DigitaPRIMERA!$E$17&lt;&gt;"",DigitaPRIMERA!$E$17,"")</f>
        <v>42700</v>
      </c>
      <c r="D20" s="42">
        <f>IF(C20="",0,C20*J$18)</f>
        <v>5124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37576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60</v>
      </c>
      <c r="C21" s="29">
        <f>IF(DigitaHONDURAS!$C$17&lt;&gt;"",DigitaHONDURAS!$C$17,"")</f>
        <v>79600</v>
      </c>
      <c r="D21" s="42">
        <f>IF(C21="",0,C21*J$19)</f>
        <v>9552</v>
      </c>
      <c r="E21" s="29">
        <f>IF(DigitaHONDURAS!$D$17&lt;&gt;"",DigitaHONDURAS!$D$17,"")</f>
        <v>1100</v>
      </c>
      <c r="F21" s="42">
        <f>IF(E21="",0,E21*PREMIOS!F20)</f>
        <v>93500</v>
      </c>
      <c r="G21" s="30">
        <f t="shared" si="6"/>
        <v>-23452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36</v>
      </c>
      <c r="C22" s="29">
        <f>IF(DigitaHONDURAS!$E$17&lt;&gt;"",DigitaHONDURAS!$E$17,"")</f>
        <v>14500</v>
      </c>
      <c r="D22" s="42">
        <f>IF(C22="",0,C22*J$19)</f>
        <v>1740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12760</v>
      </c>
    </row>
    <row r="23" spans="1:11" x14ac:dyDescent="0.35">
      <c r="A23" s="28" t="s">
        <v>101</v>
      </c>
      <c r="B23" s="133">
        <f>IF(DigitaHONDURAS!G2&lt;&gt;"",DigitaHONDURAS!G2,"")</f>
        <v>29</v>
      </c>
      <c r="C23" s="29">
        <f>IF(DigitaHONDURAS!$G$17&lt;&gt;"",DigitaHONDURAS!$G$17,"")</f>
        <v>37500</v>
      </c>
      <c r="D23" s="42">
        <f>IF(C23="",0,C23*J$19)</f>
        <v>4500</v>
      </c>
      <c r="E23" s="29">
        <f>IF(DigitaHONDURAS!$H$17&lt;&gt;"",DigitaHONDURAS!$H$17,"")</f>
        <v>250</v>
      </c>
      <c r="F23" s="42">
        <f>IF(E23="",0,E23*PREMIOS!F20)</f>
        <v>21250</v>
      </c>
      <c r="G23" s="30">
        <f t="shared" si="6"/>
        <v>11750</v>
      </c>
    </row>
    <row r="24" spans="1:11" x14ac:dyDescent="0.35">
      <c r="A24" s="28" t="s">
        <v>102</v>
      </c>
      <c r="B24" s="133">
        <f>IF(DigitaDOMINICANA!C2&lt;&gt;"",DigitaDOMINICANA!C2,"")</f>
        <v>44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28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1262650</v>
      </c>
      <c r="D27" s="68">
        <f t="shared" ref="D27:G27" si="7">SUM(D5:D26)</f>
        <v>150311</v>
      </c>
      <c r="E27" s="68">
        <f t="shared" si="7"/>
        <v>13400</v>
      </c>
      <c r="F27" s="68">
        <f t="shared" si="7"/>
        <v>1105000</v>
      </c>
      <c r="G27" s="89">
        <f t="shared" si="7"/>
        <v>7339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">
        <v>92</v>
      </c>
      <c r="C2" s="284"/>
      <c r="D2" s="285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175800</v>
      </c>
      <c r="K4" s="233">
        <f t="shared" ref="K4" si="0">D7+D11+D15</f>
        <v>21096</v>
      </c>
      <c r="L4" s="222">
        <f>F7+F11+F15</f>
        <v>136000</v>
      </c>
    </row>
    <row r="5" spans="1:12" x14ac:dyDescent="0.35">
      <c r="A5" s="28" t="str">
        <f>+Vendedor1!A5</f>
        <v>Nica 11am</v>
      </c>
      <c r="B5" s="133">
        <f>IF(DigitaNICA!C2&lt;&gt;"",DigitaNICA!C2,"")</f>
        <v>63</v>
      </c>
      <c r="C5" s="29">
        <f>IF(DigitaNICA!C18&lt;&gt;"",DigitaNICA!C18,"")</f>
        <v>43350</v>
      </c>
      <c r="D5" s="42">
        <f>IF(C5="",0,C5*J$16)</f>
        <v>5202</v>
      </c>
      <c r="E5" s="29">
        <f>IF(DigitaNICA!D18&lt;&gt;"",DigitaNICA!D18,"")</f>
        <v>100</v>
      </c>
      <c r="F5" s="42">
        <f>IF(E5="",0,E5*PREMIOS!F5)</f>
        <v>8500</v>
      </c>
      <c r="G5" s="30">
        <f t="shared" ref="G5:G12" si="1">IF(OR(C5="",E5=""),0,C5-D5-F5)</f>
        <v>29648</v>
      </c>
      <c r="I5" s="219" t="s">
        <v>37</v>
      </c>
      <c r="J5" s="223">
        <f>SUM(IF(C5="",0,C5),IF(C9="",0,C9),IF(C13="",0,C13),IF(C17="",0,C17))</f>
        <v>151300</v>
      </c>
      <c r="K5" s="227">
        <f t="shared" ref="K5" si="2">D5+D9+D13+D17</f>
        <v>18156</v>
      </c>
      <c r="L5" s="224">
        <f>F5+F9+F13+F17</f>
        <v>633250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42650</v>
      </c>
      <c r="K6" s="228">
        <f t="shared" ref="K6" si="3">+D8+D12+D16</f>
        <v>4265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97</v>
      </c>
      <c r="C7" s="29">
        <f>IF(DigitaTICA!C18&lt;&gt;"",DigitaTICA!C18,"")</f>
        <v>49300</v>
      </c>
      <c r="D7" s="42">
        <f>IF(C7="",0,C7*J$15)</f>
        <v>5916</v>
      </c>
      <c r="E7" s="29">
        <f>IF(DigitaTICA!D18&lt;&gt;"",DigitaTICA!D18,"")</f>
        <v>200</v>
      </c>
      <c r="F7" s="42">
        <f>IF(E7="",0,E7*PREMIOS!F7)</f>
        <v>17000</v>
      </c>
      <c r="G7" s="30">
        <f t="shared" si="1"/>
        <v>26384</v>
      </c>
      <c r="I7" s="219" t="s">
        <v>96</v>
      </c>
      <c r="J7" s="225">
        <f>SUM(IF(C19="",0,C19),IF(C20="",0,C20))</f>
        <v>59650</v>
      </c>
      <c r="K7" s="228">
        <f>+D19+D20</f>
        <v>7158</v>
      </c>
      <c r="L7" s="229">
        <f>+F19+F20</f>
        <v>93500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16250</v>
      </c>
      <c r="D8" s="42">
        <f>IF(C8="",0,C8*J$17)</f>
        <v>1625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14625</v>
      </c>
      <c r="I8" s="219" t="s">
        <v>104</v>
      </c>
      <c r="J8" s="225">
        <f>SUM(IF(C21="",0,C21),IF(C22="",0,C22),IF(C23="",0,C23))</f>
        <v>24150</v>
      </c>
      <c r="K8" s="228">
        <f t="shared" ref="K8" si="4">D21+D22+D23</f>
        <v>2898</v>
      </c>
      <c r="L8" s="229">
        <f>F21+F22+F23</f>
        <v>12750</v>
      </c>
    </row>
    <row r="9" spans="1:12" x14ac:dyDescent="0.35">
      <c r="A9" s="28" t="str">
        <f>+Vendedor1!A9</f>
        <v>Nica 3pm</v>
      </c>
      <c r="B9" s="133">
        <f>IF(DigitaNICA!E2&lt;&gt;"",DigitaNICA!E2,"")</f>
        <v>12</v>
      </c>
      <c r="C9" s="29">
        <f>IF(DigitaNICA!E18&lt;&gt;"",DigitaNICA!E18,"")</f>
        <v>44650</v>
      </c>
      <c r="D9" s="42">
        <f>IF(C9="",0,C9*J$16)</f>
        <v>5358</v>
      </c>
      <c r="E9" s="29">
        <f>IF(DigitaNICA!F18&lt;&gt;"",DigitaNICA!F18,"")</f>
        <v>6900</v>
      </c>
      <c r="F9" s="42">
        <f>IF(E9="",0,E9*PREMIOS!F9)</f>
        <v>586500</v>
      </c>
      <c r="G9" s="30">
        <f t="shared" si="1"/>
        <v>-547208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26</v>
      </c>
      <c r="C11" s="29">
        <f>IF(DigitaTICA!E18&lt;&gt;"",DigitaTICA!E18,"")</f>
        <v>54650</v>
      </c>
      <c r="D11" s="42">
        <f>IF(C11="",0,C11*J$15)</f>
        <v>6558</v>
      </c>
      <c r="E11" s="29">
        <f>IF(DigitaTICA!F18&lt;&gt;"",DigitaTICA!F18,"")</f>
        <v>900</v>
      </c>
      <c r="F11" s="42">
        <f>IF(E11="",0,E11*PREMIOS!F11)</f>
        <v>76500</v>
      </c>
      <c r="G11" s="30">
        <f t="shared" si="1"/>
        <v>-28408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14750</v>
      </c>
      <c r="D12" s="42">
        <f>IF(C12="",0,C12*J$17)</f>
        <v>1475</v>
      </c>
      <c r="E12" s="29">
        <f>IF(DigitaREVENTADO!F18&lt;&gt;"",DigitaREVENTADO!F18,"")</f>
        <v>100</v>
      </c>
      <c r="F12" s="42">
        <f>IF(E12="",0,E12*PREMIOS!F12)</f>
        <v>0</v>
      </c>
      <c r="G12" s="30">
        <f t="shared" si="1"/>
        <v>13275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55</v>
      </c>
      <c r="C13" s="29">
        <f>IF(DigitaNICA!G18&lt;&gt;"",DigitaNICA!G18,"")</f>
        <v>47450</v>
      </c>
      <c r="D13" s="42">
        <f>IF(C13="",0,C13*J$16)</f>
        <v>5694</v>
      </c>
      <c r="E13" s="29">
        <f>IF(DigitaNICA!H18&lt;&gt;"",DigitaNICA!H18,"")</f>
        <v>350</v>
      </c>
      <c r="F13" s="42">
        <f>IF(E13="",0,E13*PREMIOS!F13)</f>
        <v>29750</v>
      </c>
      <c r="G13" s="30">
        <f>IF(OR(C13="",E13=""),0,C13-D13-F13)</f>
        <v>12006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9" t="s">
        <v>34</v>
      </c>
      <c r="J14" s="290"/>
      <c r="K14" s="291"/>
    </row>
    <row r="15" spans="1:12" x14ac:dyDescent="0.35">
      <c r="A15" s="28" t="str">
        <f>+Vendedor1!A15</f>
        <v>Tica 7:30pm</v>
      </c>
      <c r="B15" s="133">
        <f>IF(DigitaTICA!G2&lt;&gt;"",DigitaTICA!G2,"")</f>
        <v>10</v>
      </c>
      <c r="C15" s="29">
        <f>IF(DigitaTICA!G18&lt;&gt;"",DigitaTICA!G18,"")</f>
        <v>71850</v>
      </c>
      <c r="D15" s="42">
        <f>IF(C15="",0,C15*J$15)</f>
        <v>8622</v>
      </c>
      <c r="E15" s="29">
        <f>IF(DigitaTICA!H18&lt;&gt;"",DigitaTICA!H18,"")</f>
        <v>500</v>
      </c>
      <c r="F15" s="42">
        <f>IF(E15="",0,E15*PREMIOS!F15)</f>
        <v>42500</v>
      </c>
      <c r="G15" s="30">
        <f t="shared" si="6"/>
        <v>20728</v>
      </c>
      <c r="I15" s="77" t="s">
        <v>36</v>
      </c>
      <c r="J15" s="78">
        <v>0.12</v>
      </c>
      <c r="K15" s="79">
        <f>MROUND(D7+D11+D15,50)</f>
        <v>21100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11650</v>
      </c>
      <c r="D16" s="42">
        <f>IF(C16="",0,C16*J$17)</f>
        <v>1165</v>
      </c>
      <c r="E16" s="29">
        <f>IF(DigitaREVENTADO!H18&lt;&gt;"",DigitaREVENTADO!H18,"")</f>
        <v>500</v>
      </c>
      <c r="F16" s="42">
        <f>IF(E16="",0,E16*PREMIOS!F16)</f>
        <v>0</v>
      </c>
      <c r="G16" s="30">
        <f t="shared" si="6"/>
        <v>10485</v>
      </c>
      <c r="I16" s="63" t="s">
        <v>37</v>
      </c>
      <c r="J16" s="64">
        <v>0.12</v>
      </c>
      <c r="K16" s="30">
        <f>MROUND(D5+D9+D13+D17,50)</f>
        <v>18150</v>
      </c>
    </row>
    <row r="17" spans="1:11" x14ac:dyDescent="0.35">
      <c r="A17" s="28" t="str">
        <f>+Vendedor1!A17</f>
        <v>Nica 9pm</v>
      </c>
      <c r="B17" s="133">
        <f>IF(DigitaNICA!I2&lt;&gt;"",DigitaNICA!I2,"")</f>
        <v>41</v>
      </c>
      <c r="C17" s="29">
        <f>IF(DigitaNICA!I18&lt;&gt;"",DigitaNICA!I18,"")</f>
        <v>15850</v>
      </c>
      <c r="D17" s="42">
        <f>IF(C17="",0,C17*J$16)</f>
        <v>1902</v>
      </c>
      <c r="E17" s="29">
        <f>IF(DigitaNICA!J18&lt;&gt;"",DigitaNICA!J18,"")</f>
        <v>100</v>
      </c>
      <c r="F17" s="42">
        <f>IF(E17="",0,E17*PREMIOS!F17)</f>
        <v>8500</v>
      </c>
      <c r="G17" s="30">
        <f t="shared" si="6"/>
        <v>5448</v>
      </c>
      <c r="I17" s="63" t="s">
        <v>38</v>
      </c>
      <c r="J17" s="64">
        <v>0.1</v>
      </c>
      <c r="K17" s="30">
        <f>MROUND(D6+D8+D10+D12+D14+D16+D18,50)</f>
        <v>4250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7150</v>
      </c>
    </row>
    <row r="19" spans="1:11" x14ac:dyDescent="0.35">
      <c r="A19" s="28" t="s">
        <v>97</v>
      </c>
      <c r="B19" s="133">
        <f>IF(DigitaPRIMERA!C2&lt;&gt;"",DigitaPRIMERA!C2,"")</f>
        <v>61</v>
      </c>
      <c r="C19" s="29">
        <f>IF(DigitaPRIMERA!$C$18&lt;&gt;"",DigitaPRIMERA!$C$18,"")</f>
        <v>29950</v>
      </c>
      <c r="D19" s="42">
        <f>IF(C19="",0,C19*J$18)</f>
        <v>3594</v>
      </c>
      <c r="E19" s="29">
        <f>IF(DigitaPRIMERA!$D$18&lt;&gt;"",DigitaPRIMERA!$D$18,"")</f>
        <v>1000</v>
      </c>
      <c r="F19" s="42">
        <f>IF(E19="",0,E19*PREMIOS!F19)</f>
        <v>85000</v>
      </c>
      <c r="G19" s="30">
        <f t="shared" si="6"/>
        <v>-58644</v>
      </c>
      <c r="I19" s="63" t="s">
        <v>104</v>
      </c>
      <c r="J19" s="64">
        <v>0.12</v>
      </c>
      <c r="K19" s="30">
        <f>MROUND(D21+D22+D23,50)</f>
        <v>2900</v>
      </c>
    </row>
    <row r="20" spans="1:11" x14ac:dyDescent="0.35">
      <c r="A20" s="28" t="s">
        <v>98</v>
      </c>
      <c r="B20" s="133">
        <f>IF(DigitaPRIMERA!E2&lt;&gt;"",DigitaPRIMERA!E2,"")</f>
        <v>88</v>
      </c>
      <c r="C20" s="29">
        <f>IF(DigitaPRIMERA!$E$18&lt;&gt;"",DigitaPRIMERA!$E$18,"")</f>
        <v>29700</v>
      </c>
      <c r="D20" s="42">
        <f>IF(C20="",0,C20*J$18)</f>
        <v>3564</v>
      </c>
      <c r="E20" s="29">
        <f>IF(DigitaPRIMERA!$F$18&lt;&gt;"",DigitaPRIMERA!$F$18,"")</f>
        <v>100</v>
      </c>
      <c r="F20" s="42">
        <f>IF(E20="",0,E20*PREMIOS!F19)</f>
        <v>8500</v>
      </c>
      <c r="G20" s="30">
        <f t="shared" si="6"/>
        <v>17636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60</v>
      </c>
      <c r="C21" s="29">
        <f>IF(DigitaHONDURAS!$C$18&lt;&gt;"",DigitaHONDURAS!$C$18,"")</f>
        <v>19250</v>
      </c>
      <c r="D21" s="42">
        <f>IF(C21="",0,C21*J$19)</f>
        <v>2310</v>
      </c>
      <c r="E21" s="29">
        <f>IF(DigitaHONDURAS!$D$18&lt;&gt;"",DigitaHONDURAS!$D$18,"")</f>
        <v>150</v>
      </c>
      <c r="F21" s="42">
        <f>IF(E21="",0,E21*PREMIOS!F20)</f>
        <v>12750</v>
      </c>
      <c r="G21" s="30">
        <f t="shared" si="6"/>
        <v>4190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36</v>
      </c>
      <c r="C22" s="29">
        <f>IF(DigitaHONDURAS!$E$18&lt;&gt;"",DigitaHONDURAS!$E$18,"")</f>
        <v>3700</v>
      </c>
      <c r="D22" s="42">
        <f>IF(C22="",0,C22*J$19)</f>
        <v>444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3256</v>
      </c>
    </row>
    <row r="23" spans="1:11" x14ac:dyDescent="0.35">
      <c r="A23" s="28" t="s">
        <v>101</v>
      </c>
      <c r="B23" s="133">
        <f>IF(DigitaHONDURAS!G2&lt;&gt;"",DigitaHONDURAS!G2,"")</f>
        <v>29</v>
      </c>
      <c r="C23" s="29">
        <f>IF(DigitaHONDURAS!$G$18&lt;&gt;"",DigitaHONDURAS!$G$18,"")</f>
        <v>1200</v>
      </c>
      <c r="D23" s="42">
        <f>IF(C23="",0,C23*J$19)</f>
        <v>144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1056</v>
      </c>
    </row>
    <row r="24" spans="1:11" x14ac:dyDescent="0.35">
      <c r="A24" s="28" t="s">
        <v>102</v>
      </c>
      <c r="B24" s="133">
        <f>IF(DigitaDOMINICANA!C2&lt;&gt;"",DigitaDOMINICANA!C2,"")</f>
        <v>44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28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453550</v>
      </c>
      <c r="D27" s="68">
        <f t="shared" ref="D27:G27" si="7">SUM(D5:D26)</f>
        <v>53573</v>
      </c>
      <c r="E27" s="68">
        <f t="shared" si="7"/>
        <v>10900</v>
      </c>
      <c r="F27" s="68">
        <f t="shared" si="7"/>
        <v>875500</v>
      </c>
      <c r="G27" s="89">
        <f t="shared" si="7"/>
        <v>-475523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5" t="s">
        <v>88</v>
      </c>
      <c r="D2" s="285"/>
      <c r="E2" s="285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63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97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6" t="s">
        <v>34</v>
      </c>
      <c r="J8" s="286"/>
      <c r="K8" s="286"/>
    </row>
    <row r="9" spans="1:11" x14ac:dyDescent="0.35">
      <c r="A9" s="28" t="str">
        <f>+Vendedor1!A9</f>
        <v>Nica 3pm</v>
      </c>
      <c r="B9" s="133">
        <f>IF(DigitaNICA!E2&lt;&gt;"",DigitaNICA!E2,"")</f>
        <v>12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26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55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10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41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5" t="s">
        <v>85</v>
      </c>
      <c r="D2" s="285"/>
      <c r="E2" s="285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63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97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6" t="s">
        <v>34</v>
      </c>
      <c r="J8" s="286"/>
      <c r="K8" s="286"/>
    </row>
    <row r="9" spans="1:11" x14ac:dyDescent="0.35">
      <c r="A9" s="28" t="s">
        <v>48</v>
      </c>
      <c r="B9" s="133">
        <f>IF(DigitaNICA!E2&lt;&gt;"",DigitaNICA!E2,"")</f>
        <v>12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26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55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10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41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5" t="s">
        <v>84</v>
      </c>
      <c r="D2" s="285"/>
      <c r="E2" s="285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6" t="s">
        <v>34</v>
      </c>
      <c r="J8" s="286"/>
      <c r="K8" s="286"/>
    </row>
    <row r="9" spans="1:12" x14ac:dyDescent="0.35">
      <c r="A9" s="28" t="s">
        <v>48</v>
      </c>
      <c r="B9" s="133">
        <f>IF(DigitaNICA!E2&lt;&gt;"",DigitaNICA!E2,"")</f>
        <v>12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55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41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5" t="s">
        <v>83</v>
      </c>
      <c r="D2" s="285"/>
      <c r="E2" s="285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6" t="s">
        <v>34</v>
      </c>
      <c r="J8" s="286"/>
      <c r="K8" s="286"/>
    </row>
    <row r="9" spans="1:12" x14ac:dyDescent="0.35">
      <c r="A9" s="28" t="s">
        <v>48</v>
      </c>
      <c r="B9" s="133">
        <f>IF(DigitaNICA!E2&lt;&gt;"",DigitaNICA!E2,"")</f>
        <v>12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55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41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5" t="s">
        <v>82</v>
      </c>
      <c r="D2" s="285"/>
      <c r="E2" s="285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6" t="s">
        <v>34</v>
      </c>
      <c r="J8" s="286"/>
      <c r="K8" s="286"/>
    </row>
    <row r="9" spans="1:12" x14ac:dyDescent="0.35">
      <c r="A9" s="28" t="s">
        <v>48</v>
      </c>
      <c r="B9" s="133">
        <f>IF(DigitaNICA!E2&lt;&gt;"",DigitaNICA!E2,"")</f>
        <v>12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55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41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5" t="s">
        <v>67</v>
      </c>
      <c r="C2" s="285"/>
      <c r="D2" s="285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6" t="s">
        <v>34</v>
      </c>
      <c r="I8" s="286"/>
      <c r="J8" s="286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5" t="s">
        <v>70</v>
      </c>
      <c r="C2" s="285"/>
      <c r="D2" s="285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6" t="s">
        <v>34</v>
      </c>
      <c r="I8" s="286"/>
      <c r="J8" s="286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5" t="s">
        <v>66</v>
      </c>
      <c r="C2" s="285"/>
      <c r="D2" s="285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6" t="s">
        <v>34</v>
      </c>
      <c r="I8" s="286"/>
      <c r="J8" s="286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5" t="s">
        <v>81</v>
      </c>
      <c r="D2" s="285"/>
      <c r="E2" s="285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>
        <f>IF(DigitaTICA!C27&lt;&gt;"",DigitaTICA!C27,"")</f>
        <v>-16396</v>
      </c>
      <c r="D7" s="42">
        <f>IF(C7="",0,C7*J$9)</f>
        <v>-1967.52</v>
      </c>
      <c r="E7" s="29">
        <f>IF(DigitaTICA!D27&lt;&gt;"",DigitaTICA!D27,"")</f>
        <v>0</v>
      </c>
      <c r="F7" s="42">
        <f>IF(E7="",0,E7*PREMIOS!F7)</f>
        <v>0</v>
      </c>
      <c r="G7" s="30">
        <f t="shared" si="0"/>
        <v>-14428.48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-2900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>
        <f>IF(DigitaTICA!E27&lt;&gt;"",DigitaTICA!E27,"")</f>
        <v>-6500</v>
      </c>
      <c r="D11" s="42">
        <f>IF(C11="",0,C11*J$9)</f>
        <v>-780</v>
      </c>
      <c r="E11" s="29">
        <f>IF(DigitaTICA!F27&lt;&gt;"",DigitaTICA!F27,"")</f>
        <v>0</v>
      </c>
      <c r="F11" s="42">
        <f>IF(E11="",0,E11*PREMIOS!F11)</f>
        <v>0</v>
      </c>
      <c r="G11" s="30">
        <f t="shared" si="0"/>
        <v>-5720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>
        <f>IF(DigitaTICA!G27&lt;&gt;"",DigitaTICA!G27,"")</f>
        <v>-1434</v>
      </c>
      <c r="D15" s="42">
        <f>IF(C15="",0,C15*J$9)</f>
        <v>-172.07999999999998</v>
      </c>
      <c r="E15" s="29">
        <f>IF(DigitaTICA!H27&lt;&gt;"",DigitaTICA!H27,"")</f>
        <v>0</v>
      </c>
      <c r="F15" s="42">
        <f>IF(E15="",0,E15*PREMIOS!F15)</f>
        <v>0</v>
      </c>
      <c r="G15" s="30">
        <f t="shared" si="1"/>
        <v>-1261.92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-24330</v>
      </c>
      <c r="D27" s="68">
        <f t="shared" ref="D27:G27" si="2">SUM(D5:D26)</f>
        <v>-2919.6</v>
      </c>
      <c r="E27" s="68">
        <f t="shared" si="2"/>
        <v>0</v>
      </c>
      <c r="F27" s="68">
        <f t="shared" si="2"/>
        <v>0</v>
      </c>
      <c r="G27" s="89">
        <f t="shared" si="2"/>
        <v>-21410.400000000001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5" t="s">
        <v>106</v>
      </c>
      <c r="C2" s="285"/>
      <c r="D2" s="285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6" t="s">
        <v>34</v>
      </c>
      <c r="I8" s="286"/>
      <c r="J8" s="286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5" t="s">
        <v>64</v>
      </c>
      <c r="C2" s="285"/>
      <c r="D2" s="285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6" t="s">
        <v>34</v>
      </c>
      <c r="I8" s="286"/>
      <c r="J8" s="286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5" t="s">
        <v>69</v>
      </c>
      <c r="C2" s="285"/>
      <c r="D2" s="285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6" t="s">
        <v>34</v>
      </c>
      <c r="I8" s="286"/>
      <c r="J8" s="286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5" t="s">
        <v>58</v>
      </c>
      <c r="C2" s="285"/>
      <c r="D2" s="285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6" t="s">
        <v>34</v>
      </c>
      <c r="I8" s="286"/>
      <c r="J8" s="286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5" t="s">
        <v>68</v>
      </c>
      <c r="C2" s="285"/>
      <c r="D2" s="285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6" t="s">
        <v>34</v>
      </c>
      <c r="I8" s="286"/>
      <c r="J8" s="286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5" t="s">
        <v>71</v>
      </c>
      <c r="D1" s="276"/>
      <c r="E1" s="275" t="s">
        <v>72</v>
      </c>
      <c r="F1" s="276"/>
      <c r="G1" s="275" t="s">
        <v>73</v>
      </c>
      <c r="H1" s="276"/>
    </row>
    <row r="2" spans="1:11" ht="21" customHeight="1" x14ac:dyDescent="0.35">
      <c r="C2" s="271">
        <f>IF(PREMIOS!$B7="","",PREMIOS!$B7)</f>
        <v>97</v>
      </c>
      <c r="D2" s="272"/>
      <c r="E2" s="271">
        <f>IF(PREMIOS!$B11="","",PREMIOS!$B11)</f>
        <v>26</v>
      </c>
      <c r="F2" s="272"/>
      <c r="G2" s="271">
        <f>IF(PREMIOS!$B15="","",PREMIOS!$B15)</f>
        <v>10</v>
      </c>
      <c r="H2" s="272"/>
    </row>
    <row r="3" spans="1:11" ht="15" thickBot="1" x14ac:dyDescent="0.4">
      <c r="C3" s="271"/>
      <c r="D3" s="272"/>
      <c r="E3" s="271"/>
      <c r="F3" s="272"/>
      <c r="G3" s="271"/>
      <c r="H3" s="272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72350</v>
      </c>
      <c r="D4" s="79">
        <v>300</v>
      </c>
      <c r="E4" s="190">
        <v>33200</v>
      </c>
      <c r="F4" s="79">
        <f t="shared" ref="D4:H27" si="0">IF(E4="","",0)</f>
        <v>0</v>
      </c>
      <c r="G4" s="190">
        <v>55800</v>
      </c>
      <c r="H4" s="79">
        <v>1050</v>
      </c>
      <c r="J4" s="42">
        <f t="shared" ref="J4:J8" si="1">+C4+E4+G4</f>
        <v>161350</v>
      </c>
      <c r="K4" s="42">
        <f>IF(D4="",0,IF(F4="",D4,IF(H4="",D4+F4,D4+F4+H4)))</f>
        <v>1350</v>
      </c>
    </row>
    <row r="5" spans="1:11" x14ac:dyDescent="0.35">
      <c r="A5" s="47">
        <v>2</v>
      </c>
      <c r="B5" s="179" t="str">
        <f>Vendedor2!$B$2</f>
        <v>PUESTO 2</v>
      </c>
      <c r="C5" s="181">
        <v>60250</v>
      </c>
      <c r="D5" s="30">
        <v>1000</v>
      </c>
      <c r="E5" s="181">
        <v>27050</v>
      </c>
      <c r="F5" s="30">
        <f t="shared" si="0"/>
        <v>0</v>
      </c>
      <c r="G5" s="181">
        <v>72400</v>
      </c>
      <c r="H5" s="30">
        <v>3100</v>
      </c>
      <c r="J5" s="42">
        <f t="shared" si="1"/>
        <v>159700</v>
      </c>
      <c r="K5" s="42">
        <f t="shared" ref="K5:K27" si="2">IF(D5="",0,IF(F5="",D5,IF(H5="",D5+F5,D5+F5+H5)))</f>
        <v>4100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61000</v>
      </c>
      <c r="D8" s="30">
        <f t="shared" si="0"/>
        <v>0</v>
      </c>
      <c r="E8" s="181">
        <v>67200</v>
      </c>
      <c r="F8" s="30">
        <v>250</v>
      </c>
      <c r="G8" s="181">
        <v>75650</v>
      </c>
      <c r="H8" s="30">
        <v>1250</v>
      </c>
      <c r="J8" s="42">
        <f t="shared" si="1"/>
        <v>203850</v>
      </c>
      <c r="K8" s="42">
        <f t="shared" si="2"/>
        <v>1500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37450+101900</f>
        <v>139350</v>
      </c>
      <c r="D10" s="30">
        <v>850</v>
      </c>
      <c r="E10" s="181">
        <v>144450</v>
      </c>
      <c r="F10" s="30">
        <v>2850</v>
      </c>
      <c r="G10" s="181">
        <v>144300</v>
      </c>
      <c r="H10" s="30">
        <v>3400</v>
      </c>
      <c r="J10" s="42">
        <f t="shared" si="3"/>
        <v>428100</v>
      </c>
      <c r="K10" s="42">
        <f t="shared" si="2"/>
        <v>7100</v>
      </c>
    </row>
    <row r="11" spans="1:11" x14ac:dyDescent="0.35">
      <c r="A11" s="47">
        <v>8</v>
      </c>
      <c r="B11" s="179" t="str">
        <f>Vendedor8!$B$2</f>
        <v>ISA</v>
      </c>
      <c r="C11" s="181">
        <v>5000</v>
      </c>
      <c r="D11" s="30">
        <f t="shared" si="0"/>
        <v>0</v>
      </c>
      <c r="E11" s="181"/>
      <c r="F11" s="30" t="str">
        <f t="shared" si="0"/>
        <v/>
      </c>
      <c r="G11" s="181">
        <v>7800</v>
      </c>
      <c r="H11" s="30">
        <f t="shared" si="0"/>
        <v>0</v>
      </c>
      <c r="J11" s="42">
        <f t="shared" si="3"/>
        <v>12800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34750</v>
      </c>
      <c r="D12" s="30">
        <f t="shared" si="0"/>
        <v>0</v>
      </c>
      <c r="E12" s="181">
        <v>19350</v>
      </c>
      <c r="F12" s="30">
        <f t="shared" si="0"/>
        <v>0</v>
      </c>
      <c r="G12" s="181">
        <v>13900</v>
      </c>
      <c r="H12" s="30">
        <v>400</v>
      </c>
      <c r="J12" s="42">
        <f t="shared" si="3"/>
        <v>68000</v>
      </c>
      <c r="K12" s="42">
        <f t="shared" si="2"/>
        <v>400</v>
      </c>
    </row>
    <row r="13" spans="1:11" x14ac:dyDescent="0.35">
      <c r="A13" s="47">
        <v>10</v>
      </c>
      <c r="B13" s="179" t="str">
        <f>Vendedor10!$B$2</f>
        <v>MARIALIZ</v>
      </c>
      <c r="C13" s="181">
        <v>18400</v>
      </c>
      <c r="D13" s="30">
        <v>300</v>
      </c>
      <c r="E13" s="181">
        <v>23650</v>
      </c>
      <c r="F13" s="30">
        <v>150</v>
      </c>
      <c r="G13" s="181">
        <v>31550</v>
      </c>
      <c r="H13" s="30">
        <v>900</v>
      </c>
      <c r="J13" s="42">
        <f t="shared" si="3"/>
        <v>73600</v>
      </c>
      <c r="K13" s="42">
        <f t="shared" si="2"/>
        <v>1350</v>
      </c>
    </row>
    <row r="14" spans="1:11" x14ac:dyDescent="0.35">
      <c r="A14" s="47">
        <v>11</v>
      </c>
      <c r="B14" s="179" t="str">
        <f>Vendedor11!$B$2</f>
        <v>CHARLY</v>
      </c>
      <c r="C14" s="181">
        <v>46100</v>
      </c>
      <c r="D14" s="30">
        <f t="shared" si="0"/>
        <v>0</v>
      </c>
      <c r="E14" s="181">
        <v>24400</v>
      </c>
      <c r="F14" s="30">
        <v>700</v>
      </c>
      <c r="G14" s="181">
        <v>46950</v>
      </c>
      <c r="H14" s="30">
        <v>1300</v>
      </c>
      <c r="J14" s="42">
        <f t="shared" si="3"/>
        <v>117450</v>
      </c>
      <c r="K14" s="42">
        <f t="shared" si="2"/>
        <v>2000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>
        <v>13750</v>
      </c>
      <c r="F15" s="30">
        <f t="shared" si="0"/>
        <v>0</v>
      </c>
      <c r="G15" s="181">
        <v>27900</v>
      </c>
      <c r="H15" s="30">
        <v>3400</v>
      </c>
      <c r="J15" s="42">
        <f t="shared" si="3"/>
        <v>41650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15800</v>
      </c>
      <c r="D16" s="30">
        <f t="shared" si="0"/>
        <v>0</v>
      </c>
      <c r="E16" s="181">
        <v>21550</v>
      </c>
      <c r="F16" s="30">
        <f t="shared" si="0"/>
        <v>0</v>
      </c>
      <c r="G16" s="181">
        <v>33700</v>
      </c>
      <c r="H16" s="30">
        <v>250</v>
      </c>
      <c r="J16" s="42">
        <f t="shared" si="3"/>
        <v>71050</v>
      </c>
      <c r="K16" s="42">
        <f t="shared" si="2"/>
        <v>250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81850+22650</f>
        <v>104500</v>
      </c>
      <c r="D17" s="30">
        <f>400+0</f>
        <v>400</v>
      </c>
      <c r="E17" s="181">
        <f>90700+10050</f>
        <v>100750</v>
      </c>
      <c r="F17" s="30">
        <f>700+0</f>
        <v>700</v>
      </c>
      <c r="G17" s="181">
        <f>147200+63200</f>
        <v>210400</v>
      </c>
      <c r="H17" s="30">
        <f>3350+1200</f>
        <v>4550</v>
      </c>
      <c r="J17" s="42">
        <f t="shared" si="3"/>
        <v>415650</v>
      </c>
      <c r="K17" s="42">
        <f t="shared" si="2"/>
        <v>5650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26050+23250</f>
        <v>49300</v>
      </c>
      <c r="D18" s="30">
        <f>200+0</f>
        <v>200</v>
      </c>
      <c r="E18" s="181">
        <f>39100+15550</f>
        <v>54650</v>
      </c>
      <c r="F18" s="30">
        <f>800+100</f>
        <v>900</v>
      </c>
      <c r="G18" s="181">
        <f>11650+60200</f>
        <v>71850</v>
      </c>
      <c r="H18" s="30">
        <f>500+0</f>
        <v>500</v>
      </c>
      <c r="J18" s="42">
        <f t="shared" si="3"/>
        <v>175800</v>
      </c>
      <c r="K18" s="42">
        <f t="shared" si="2"/>
        <v>1600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>
        <v>-16396</v>
      </c>
      <c r="D27" s="50">
        <f t="shared" si="0"/>
        <v>0</v>
      </c>
      <c r="E27" s="182">
        <v>-6500</v>
      </c>
      <c r="F27" s="50">
        <f t="shared" si="0"/>
        <v>0</v>
      </c>
      <c r="G27" s="182">
        <v>-1434</v>
      </c>
      <c r="H27" s="50">
        <f t="shared" si="4"/>
        <v>0</v>
      </c>
      <c r="J27" s="42">
        <f t="shared" si="3"/>
        <v>-24330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590404</v>
      </c>
      <c r="D32" s="44">
        <f t="shared" si="6"/>
        <v>3050</v>
      </c>
      <c r="E32" s="43">
        <f t="shared" si="6"/>
        <v>523500</v>
      </c>
      <c r="F32" s="44">
        <f t="shared" si="6"/>
        <v>5550</v>
      </c>
      <c r="G32" s="43">
        <f t="shared" si="6"/>
        <v>790766</v>
      </c>
      <c r="H32" s="44">
        <f t="shared" si="6"/>
        <v>20100</v>
      </c>
      <c r="J32" s="96">
        <f>SUM(J4:J31)</f>
        <v>1904670</v>
      </c>
      <c r="K32" s="96"/>
    </row>
    <row r="33" spans="2:10" x14ac:dyDescent="0.35">
      <c r="D33" s="100">
        <f>+D32*85</f>
        <v>259250</v>
      </c>
      <c r="F33" s="100">
        <f>+F32*85</f>
        <v>471750</v>
      </c>
      <c r="H33" s="100">
        <f>+H32*85</f>
        <v>1708500</v>
      </c>
    </row>
    <row r="34" spans="2:10" x14ac:dyDescent="0.35">
      <c r="B34" s="249" t="s">
        <v>149</v>
      </c>
      <c r="C34" s="43">
        <f t="shared" ref="C34:H34" si="7">+C4+C5+C6+C8+C13</f>
        <v>212000</v>
      </c>
      <c r="D34" s="43" t="e">
        <f t="shared" si="7"/>
        <v>#VALUE!</v>
      </c>
      <c r="E34" s="43">
        <f t="shared" si="7"/>
        <v>151100</v>
      </c>
      <c r="F34" s="43" t="e">
        <f t="shared" si="7"/>
        <v>#VALUE!</v>
      </c>
      <c r="G34" s="43">
        <f t="shared" si="7"/>
        <v>235400</v>
      </c>
      <c r="H34" s="43" t="e">
        <f t="shared" si="7"/>
        <v>#VALUE!</v>
      </c>
      <c r="J34">
        <v>1929000</v>
      </c>
    </row>
    <row r="35" spans="2:10" x14ac:dyDescent="0.35">
      <c r="B35" s="249" t="s">
        <v>150</v>
      </c>
      <c r="C35" s="43">
        <f>+C11+C14+C15+C17+C18</f>
        <v>204900</v>
      </c>
      <c r="D35" s="43" t="e">
        <f t="shared" ref="D35:H35" si="8">+D11+D14+D15+D17+D18</f>
        <v>#VALUE!</v>
      </c>
      <c r="E35" s="43">
        <f t="shared" si="8"/>
        <v>193550</v>
      </c>
      <c r="F35" s="43" t="e">
        <f t="shared" si="8"/>
        <v>#VALUE!</v>
      </c>
      <c r="G35" s="43">
        <f t="shared" si="8"/>
        <v>364900</v>
      </c>
      <c r="H35" s="43">
        <f t="shared" si="8"/>
        <v>9750</v>
      </c>
      <c r="J35">
        <v>1904665</v>
      </c>
    </row>
    <row r="36" spans="2:10" x14ac:dyDescent="0.35">
      <c r="B36" s="249" t="s">
        <v>151</v>
      </c>
      <c r="C36" s="43">
        <f>+C10+C12+C27</f>
        <v>157704</v>
      </c>
      <c r="D36" s="43">
        <f t="shared" ref="D36:H36" si="9">+D10+D12+D27</f>
        <v>850</v>
      </c>
      <c r="E36" s="43">
        <f t="shared" si="9"/>
        <v>157300</v>
      </c>
      <c r="F36" s="43">
        <f t="shared" si="9"/>
        <v>2850</v>
      </c>
      <c r="G36" s="43">
        <f t="shared" si="9"/>
        <v>156766</v>
      </c>
      <c r="H36" s="43">
        <f t="shared" si="9"/>
        <v>3800</v>
      </c>
      <c r="J36" s="43">
        <f>+J34-J35</f>
        <v>24335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6"/>
  <sheetViews>
    <sheetView showGridLines="0" topLeftCell="A4" zoomScale="90" zoomScaleNormal="90" workbookViewId="0">
      <selection activeCell="M35" sqref="M35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5" t="s">
        <v>23</v>
      </c>
      <c r="D1" s="276"/>
      <c r="E1" s="275" t="s">
        <v>24</v>
      </c>
      <c r="F1" s="276"/>
      <c r="G1" s="275" t="s">
        <v>25</v>
      </c>
      <c r="H1" s="276"/>
      <c r="I1" s="275" t="s">
        <v>26</v>
      </c>
      <c r="J1" s="276"/>
    </row>
    <row r="2" spans="1:13" x14ac:dyDescent="0.35">
      <c r="C2" s="271">
        <f>IF(PREMIOS!$B5="","",PREMIOS!$B5)</f>
        <v>63</v>
      </c>
      <c r="D2" s="272"/>
      <c r="E2" s="271">
        <f>IF(PREMIOS!$B9="","",PREMIOS!$B9)</f>
        <v>12</v>
      </c>
      <c r="F2" s="272"/>
      <c r="G2" s="271">
        <f>IF(PREMIOS!$B13="","",PREMIOS!$B13)</f>
        <v>55</v>
      </c>
      <c r="H2" s="272"/>
      <c r="I2" s="271">
        <f>IF(PREMIOS!$B17="","",PREMIOS!$B17)</f>
        <v>41</v>
      </c>
      <c r="J2" s="272"/>
    </row>
    <row r="3" spans="1:13" ht="15" thickBot="1" x14ac:dyDescent="0.4">
      <c r="C3" s="271"/>
      <c r="D3" s="272"/>
      <c r="E3" s="271"/>
      <c r="F3" s="272"/>
      <c r="G3" s="271"/>
      <c r="H3" s="272"/>
      <c r="I3" s="271"/>
      <c r="J3" s="272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44100</v>
      </c>
      <c r="D4" s="79">
        <v>350</v>
      </c>
      <c r="E4" s="207">
        <v>19600</v>
      </c>
      <c r="F4" s="79">
        <v>950</v>
      </c>
      <c r="G4" s="190">
        <v>2800</v>
      </c>
      <c r="H4" s="79">
        <f t="shared" ref="H4:H27" si="0">IF(G4="","",0)</f>
        <v>0</v>
      </c>
      <c r="I4" s="190">
        <v>3850</v>
      </c>
      <c r="J4" s="79">
        <f t="shared" ref="D4:J27" si="1">IF(I4="","",0)</f>
        <v>0</v>
      </c>
      <c r="L4" s="42">
        <f t="shared" ref="L4:L8" si="2">+C4+E4+G4+I4</f>
        <v>70350</v>
      </c>
      <c r="M4" s="42">
        <f>IF(D4=0,0,IF(F4="",D4,IF(H4="",D4+F4,IF(J4="",D4+F4+H4,D4+F4+H4+J4))))</f>
        <v>1300</v>
      </c>
    </row>
    <row r="5" spans="1:13" x14ac:dyDescent="0.35">
      <c r="A5" s="47">
        <v>2</v>
      </c>
      <c r="B5" s="179" t="str">
        <f>Vendedor2!$B$2</f>
        <v>PUESTO 2</v>
      </c>
      <c r="C5" s="181">
        <v>13600</v>
      </c>
      <c r="D5" s="30">
        <v>200</v>
      </c>
      <c r="E5" s="208">
        <v>6500</v>
      </c>
      <c r="F5" s="30">
        <v>500</v>
      </c>
      <c r="G5" s="181">
        <v>200</v>
      </c>
      <c r="H5" s="30">
        <f t="shared" si="0"/>
        <v>0</v>
      </c>
      <c r="I5" s="181"/>
      <c r="J5" s="30" t="str">
        <f t="shared" ref="J5:J27" si="3">IF(I5="","",0)</f>
        <v/>
      </c>
      <c r="L5" s="42">
        <f t="shared" si="2"/>
        <v>20300</v>
      </c>
      <c r="M5" s="42">
        <f t="shared" ref="M5:M27" si="4">IF(D5=0,0,IF(F5="",D5,IF(H5="",D5+F5,IF(J5="",D5+F5+H5,D5+F5+H5+J5))))</f>
        <v>700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1"/>
        <v/>
      </c>
      <c r="E6" s="208"/>
      <c r="F6" s="30" t="str">
        <f t="shared" si="1"/>
        <v/>
      </c>
      <c r="G6" s="181"/>
      <c r="H6" s="30" t="str">
        <f t="shared" si="0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1"/>
        <v/>
      </c>
      <c r="E7" s="208"/>
      <c r="F7" s="30" t="str">
        <f t="shared" si="1"/>
        <v/>
      </c>
      <c r="G7" s="181"/>
      <c r="H7" s="30" t="str">
        <f t="shared" si="0"/>
        <v/>
      </c>
      <c r="I7" s="181"/>
      <c r="J7" s="30" t="str">
        <f t="shared" si="1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65450</v>
      </c>
      <c r="D8" s="30">
        <f t="shared" si="1"/>
        <v>0</v>
      </c>
      <c r="E8" s="208">
        <v>40950</v>
      </c>
      <c r="F8" s="30">
        <v>2450</v>
      </c>
      <c r="G8" s="181">
        <v>6100</v>
      </c>
      <c r="H8" s="30">
        <v>400</v>
      </c>
      <c r="I8" s="181">
        <v>54300</v>
      </c>
      <c r="J8" s="30">
        <v>400</v>
      </c>
      <c r="L8" s="42">
        <f t="shared" si="2"/>
        <v>166800</v>
      </c>
      <c r="M8" s="42">
        <f t="shared" si="4"/>
        <v>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1"/>
        <v/>
      </c>
      <c r="E9" s="208"/>
      <c r="F9" s="30" t="str">
        <f t="shared" si="1"/>
        <v/>
      </c>
      <c r="G9" s="181"/>
      <c r="H9" s="30" t="str">
        <f t="shared" si="0"/>
        <v/>
      </c>
      <c r="I9" s="181"/>
      <c r="J9" s="30" t="str">
        <f t="shared" si="1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32000+68900</f>
        <v>100900</v>
      </c>
      <c r="D10" s="30">
        <f t="shared" si="1"/>
        <v>0</v>
      </c>
      <c r="E10" s="208">
        <v>91150</v>
      </c>
      <c r="F10" s="30">
        <v>2700</v>
      </c>
      <c r="G10" s="181">
        <v>84850</v>
      </c>
      <c r="H10" s="30">
        <v>550</v>
      </c>
      <c r="I10" s="181">
        <v>90600</v>
      </c>
      <c r="J10" s="30">
        <v>200</v>
      </c>
      <c r="L10" s="42">
        <f t="shared" si="5"/>
        <v>367500</v>
      </c>
      <c r="M10" s="42">
        <f t="shared" si="4"/>
        <v>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1"/>
        <v/>
      </c>
      <c r="E11" s="208"/>
      <c r="F11" s="30" t="str">
        <f t="shared" si="1"/>
        <v/>
      </c>
      <c r="G11" s="181"/>
      <c r="H11" s="30" t="str">
        <f t="shared" si="1"/>
        <v/>
      </c>
      <c r="I11" s="181"/>
      <c r="J11" s="30" t="str">
        <f t="shared" si="1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36900</v>
      </c>
      <c r="D12" s="30">
        <v>500</v>
      </c>
      <c r="E12" s="208">
        <v>3000</v>
      </c>
      <c r="F12" s="30">
        <f t="shared" si="1"/>
        <v>0</v>
      </c>
      <c r="G12" s="181"/>
      <c r="H12" s="30" t="str">
        <f t="shared" si="1"/>
        <v/>
      </c>
      <c r="I12" s="181"/>
      <c r="J12" s="30" t="str">
        <f t="shared" si="1"/>
        <v/>
      </c>
      <c r="L12" s="42">
        <f t="shared" si="5"/>
        <v>39900</v>
      </c>
      <c r="M12" s="42">
        <f t="shared" si="4"/>
        <v>500</v>
      </c>
    </row>
    <row r="13" spans="1:13" x14ac:dyDescent="0.35">
      <c r="A13" s="47">
        <v>10</v>
      </c>
      <c r="B13" s="179" t="str">
        <f>Vendedor10!$B$2</f>
        <v>MARIALIZ</v>
      </c>
      <c r="C13" s="181">
        <v>20050</v>
      </c>
      <c r="D13" s="30">
        <f t="shared" si="1"/>
        <v>0</v>
      </c>
      <c r="E13" s="208">
        <v>15300</v>
      </c>
      <c r="F13" s="30">
        <v>3200</v>
      </c>
      <c r="G13" s="181">
        <v>4000</v>
      </c>
      <c r="H13" s="30">
        <f t="shared" si="1"/>
        <v>0</v>
      </c>
      <c r="I13" s="181">
        <v>5500</v>
      </c>
      <c r="J13" s="30">
        <v>300</v>
      </c>
      <c r="L13" s="42">
        <f t="shared" si="5"/>
        <v>44850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1"/>
        <v/>
      </c>
      <c r="E14" s="209"/>
      <c r="F14" s="186" t="str">
        <f t="shared" si="1"/>
        <v/>
      </c>
      <c r="G14" s="185"/>
      <c r="H14" s="186" t="str">
        <f t="shared" si="1"/>
        <v/>
      </c>
      <c r="I14" s="185"/>
      <c r="J14" s="186" t="str">
        <f t="shared" si="1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>
        <v>25400</v>
      </c>
      <c r="D15" s="30">
        <f t="shared" si="1"/>
        <v>0</v>
      </c>
      <c r="E15" s="208"/>
      <c r="F15" s="30" t="str">
        <f t="shared" si="1"/>
        <v/>
      </c>
      <c r="G15" s="181"/>
      <c r="H15" s="30" t="str">
        <f t="shared" si="1"/>
        <v/>
      </c>
      <c r="I15" s="181">
        <v>34600</v>
      </c>
      <c r="J15" s="30">
        <f t="shared" si="1"/>
        <v>0</v>
      </c>
      <c r="L15" s="42">
        <f t="shared" si="5"/>
        <v>60000</v>
      </c>
      <c r="M15" s="42">
        <f t="shared" si="4"/>
        <v>0</v>
      </c>
    </row>
    <row r="16" spans="1:13" x14ac:dyDescent="0.35">
      <c r="A16" s="47">
        <v>13</v>
      </c>
      <c r="B16" s="179" t="str">
        <f>Vendedor13!$B$2</f>
        <v>MINERO</v>
      </c>
      <c r="C16" s="181">
        <v>22100</v>
      </c>
      <c r="D16" s="30">
        <f t="shared" si="1"/>
        <v>0</v>
      </c>
      <c r="E16" s="208">
        <v>8500</v>
      </c>
      <c r="F16" s="30">
        <v>1700</v>
      </c>
      <c r="G16" s="181">
        <v>14000</v>
      </c>
      <c r="H16" s="30">
        <f t="shared" si="1"/>
        <v>0</v>
      </c>
      <c r="I16" s="181">
        <v>16250</v>
      </c>
      <c r="J16" s="30">
        <f t="shared" si="1"/>
        <v>0</v>
      </c>
      <c r="L16" s="42">
        <f t="shared" si="5"/>
        <v>60850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156850</v>
      </c>
      <c r="D17" s="30">
        <v>1250</v>
      </c>
      <c r="E17" s="208">
        <v>70250</v>
      </c>
      <c r="F17" s="30">
        <v>1350</v>
      </c>
      <c r="G17" s="181">
        <v>79500</v>
      </c>
      <c r="H17" s="30">
        <v>900</v>
      </c>
      <c r="I17" s="181">
        <v>224150</v>
      </c>
      <c r="J17" s="30">
        <v>1700</v>
      </c>
      <c r="L17" s="42">
        <f t="shared" si="5"/>
        <v>530750</v>
      </c>
      <c r="M17" s="42">
        <f t="shared" si="4"/>
        <v>5200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43350</v>
      </c>
      <c r="D18" s="30">
        <v>100</v>
      </c>
      <c r="E18" s="208">
        <v>44650</v>
      </c>
      <c r="F18" s="30">
        <v>6900</v>
      </c>
      <c r="G18" s="181">
        <v>47450</v>
      </c>
      <c r="H18" s="30">
        <v>350</v>
      </c>
      <c r="I18" s="181">
        <v>15850</v>
      </c>
      <c r="J18" s="30">
        <v>100</v>
      </c>
      <c r="L18" s="42">
        <f t="shared" si="5"/>
        <v>151300</v>
      </c>
      <c r="M18" s="42">
        <f t="shared" si="4"/>
        <v>7450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1"/>
        <v/>
      </c>
      <c r="E19" s="208"/>
      <c r="F19" s="30" t="str">
        <f t="shared" si="1"/>
        <v/>
      </c>
      <c r="G19" s="181"/>
      <c r="H19" s="30" t="str">
        <f t="shared" si="0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1"/>
        <v/>
      </c>
      <c r="E20" s="208"/>
      <c r="F20" s="30" t="str">
        <f t="shared" si="1"/>
        <v/>
      </c>
      <c r="G20" s="181"/>
      <c r="H20" s="30" t="str">
        <f t="shared" si="0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1"/>
        <v/>
      </c>
      <c r="E21" s="208"/>
      <c r="F21" s="30" t="str">
        <f t="shared" si="1"/>
        <v/>
      </c>
      <c r="G21" s="181"/>
      <c r="H21" s="30" t="str">
        <f t="shared" si="0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1"/>
        <v/>
      </c>
      <c r="E22" s="208"/>
      <c r="F22" s="30" t="str">
        <f t="shared" si="1"/>
        <v/>
      </c>
      <c r="G22" s="181"/>
      <c r="H22" s="30" t="str">
        <f t="shared" si="0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1"/>
        <v/>
      </c>
      <c r="E23" s="208"/>
      <c r="F23" s="30" t="str">
        <f t="shared" si="1"/>
        <v/>
      </c>
      <c r="G23" s="181"/>
      <c r="H23" s="30" t="str">
        <f t="shared" si="0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1"/>
        <v/>
      </c>
      <c r="E24" s="208"/>
      <c r="F24" s="30" t="str">
        <f t="shared" si="1"/>
        <v/>
      </c>
      <c r="G24" s="181"/>
      <c r="H24" s="30" t="str">
        <f t="shared" si="0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1"/>
        <v/>
      </c>
      <c r="E25" s="208"/>
      <c r="F25" s="30" t="str">
        <f t="shared" si="1"/>
        <v/>
      </c>
      <c r="G25" s="181"/>
      <c r="H25" s="30" t="str">
        <f t="shared" si="0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1"/>
        <v/>
      </c>
      <c r="E26" s="208"/>
      <c r="F26" s="30" t="str">
        <f t="shared" si="1"/>
        <v/>
      </c>
      <c r="G26" s="181"/>
      <c r="H26" s="30" t="str">
        <f t="shared" si="0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1"/>
        <v/>
      </c>
      <c r="E27" s="210"/>
      <c r="F27" s="50"/>
      <c r="G27" s="182"/>
      <c r="H27" s="50" t="str">
        <f t="shared" si="0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528700</v>
      </c>
      <c r="D32" s="44">
        <f t="shared" si="7"/>
        <v>2400</v>
      </c>
      <c r="E32" s="43">
        <f t="shared" si="7"/>
        <v>299900</v>
      </c>
      <c r="F32" s="44">
        <f t="shared" si="7"/>
        <v>19750</v>
      </c>
      <c r="G32" s="43">
        <f t="shared" si="7"/>
        <v>238900</v>
      </c>
      <c r="H32" s="44">
        <f t="shared" si="7"/>
        <v>2200</v>
      </c>
      <c r="I32" s="43">
        <f t="shared" si="7"/>
        <v>445100</v>
      </c>
      <c r="J32" s="44">
        <f t="shared" si="7"/>
        <v>2700</v>
      </c>
      <c r="L32" s="96">
        <f>SUM(L9:L31)</f>
        <v>1255150</v>
      </c>
      <c r="M32" s="96">
        <f>SUM(M9:M31)</f>
        <v>13150</v>
      </c>
    </row>
    <row r="33" spans="3:13" x14ac:dyDescent="0.35">
      <c r="C33" s="260">
        <f>+D33/C32</f>
        <v>5.5135237374692642E-2</v>
      </c>
      <c r="D33">
        <f>1400+2700+3500+5500+5300+1500+9250</f>
        <v>29150</v>
      </c>
      <c r="E33" s="260">
        <f>+F33/E32</f>
        <v>6.5855285095031676E-2</v>
      </c>
      <c r="F33">
        <f>2700+6900+1350+8800</f>
        <v>19750</v>
      </c>
      <c r="G33" s="260">
        <f>+H33/G32</f>
        <v>3.2021766429468398E-2</v>
      </c>
      <c r="H33">
        <f>1400+2000+3150+1100</f>
        <v>7650</v>
      </c>
      <c r="I33" s="260">
        <f>+J33/I32</f>
        <v>2.5499887665693104E-2</v>
      </c>
      <c r="J33">
        <f>350+1350+5100+4550</f>
        <v>11350</v>
      </c>
    </row>
    <row r="34" spans="3:13" x14ac:dyDescent="0.35">
      <c r="D34">
        <f>+C32*3%</f>
        <v>15861</v>
      </c>
      <c r="F34">
        <f>+E32*3%</f>
        <v>8997</v>
      </c>
      <c r="H34">
        <f>+G32*3%</f>
        <v>7167</v>
      </c>
      <c r="J34">
        <f>+I32*3%</f>
        <v>13353</v>
      </c>
      <c r="M34">
        <f>2571057.64-2550138.49</f>
        <v>20919.149999999907</v>
      </c>
    </row>
    <row r="35" spans="3:13" x14ac:dyDescent="0.35">
      <c r="D35">
        <f>+D33-D34</f>
        <v>13289</v>
      </c>
      <c r="F35">
        <f>+F33-F34</f>
        <v>10753</v>
      </c>
      <c r="H35">
        <f>+H33-H34</f>
        <v>483</v>
      </c>
      <c r="J35">
        <f>+J33-J34</f>
        <v>-2003</v>
      </c>
    </row>
    <row r="36" spans="3:13" x14ac:dyDescent="0.35">
      <c r="J36">
        <f>+D35+F35+H35+J35</f>
        <v>22522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5" t="s">
        <v>71</v>
      </c>
      <c r="D1" s="276"/>
      <c r="E1" s="275" t="s">
        <v>72</v>
      </c>
      <c r="F1" s="276"/>
      <c r="G1" s="275" t="s">
        <v>73</v>
      </c>
      <c r="H1" s="276"/>
    </row>
    <row r="2" spans="1:11" ht="14.5" customHeight="1" x14ac:dyDescent="0.35">
      <c r="C2" s="271" t="str">
        <f>IF(C33=0,"",CONCATENATE(PREMIOS!$B7," ",PREMIOS!$B8))</f>
        <v>97 Roja</v>
      </c>
      <c r="D2" s="272"/>
      <c r="E2" s="271" t="str">
        <f>IF(E33=0,"",CONCATENATE(PREMIOS!$B11," ",PREMIOS!$B12))</f>
        <v>26 Blanca</v>
      </c>
      <c r="F2" s="272"/>
      <c r="G2" s="271" t="str">
        <f>IF(G33=0,"",CONCATENATE(PREMIOS!$B15," ",PREMIOS!$B16))</f>
        <v>10 Blanca</v>
      </c>
      <c r="H2" s="272"/>
    </row>
    <row r="3" spans="1:11" ht="15" customHeight="1" thickBot="1" x14ac:dyDescent="0.4">
      <c r="C3" s="271"/>
      <c r="D3" s="272"/>
      <c r="E3" s="271"/>
      <c r="F3" s="272"/>
      <c r="G3" s="271"/>
      <c r="H3" s="272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20050+6850</f>
        <v>26900</v>
      </c>
      <c r="D10" s="30">
        <f t="shared" si="0"/>
        <v>0</v>
      </c>
      <c r="E10" s="181">
        <v>19900</v>
      </c>
      <c r="F10" s="30">
        <v>1000</v>
      </c>
      <c r="G10" s="181">
        <v>22500</v>
      </c>
      <c r="H10" s="30">
        <v>3000</v>
      </c>
      <c r="J10" s="42">
        <f t="shared" si="3"/>
        <v>69300</v>
      </c>
      <c r="K10" s="42">
        <f t="shared" si="4"/>
        <v>4000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1100</v>
      </c>
      <c r="D12" s="30">
        <f t="shared" si="0"/>
        <v>0</v>
      </c>
      <c r="E12" s="181">
        <v>1700</v>
      </c>
      <c r="F12" s="30">
        <f t="shared" si="1"/>
        <v>0</v>
      </c>
      <c r="G12" s="181">
        <v>1000</v>
      </c>
      <c r="H12" s="30">
        <f t="shared" si="0"/>
        <v>0</v>
      </c>
      <c r="J12" s="42">
        <f t="shared" si="3"/>
        <v>3800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18500</v>
      </c>
      <c r="D17" s="30">
        <f t="shared" si="0"/>
        <v>0</v>
      </c>
      <c r="E17" s="181">
        <v>9850</v>
      </c>
      <c r="F17" s="30">
        <f t="shared" si="0"/>
        <v>0</v>
      </c>
      <c r="G17" s="181">
        <v>32000</v>
      </c>
      <c r="H17" s="30">
        <v>400</v>
      </c>
      <c r="J17" s="42">
        <f t="shared" si="3"/>
        <v>60350</v>
      </c>
      <c r="K17" s="42">
        <f t="shared" si="4"/>
        <v>400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16250</v>
      </c>
      <c r="D18" s="30">
        <f t="shared" si="0"/>
        <v>0</v>
      </c>
      <c r="E18" s="181">
        <v>14750</v>
      </c>
      <c r="F18" s="30">
        <v>100</v>
      </c>
      <c r="G18" s="181">
        <v>11650</v>
      </c>
      <c r="H18" s="30">
        <v>500</v>
      </c>
      <c r="J18" s="42">
        <f t="shared" si="3"/>
        <v>42650</v>
      </c>
      <c r="K18" s="42">
        <f t="shared" si="4"/>
        <v>600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62750</v>
      </c>
      <c r="D33" s="44">
        <f t="shared" si="7"/>
        <v>0</v>
      </c>
      <c r="E33" s="43">
        <f t="shared" si="7"/>
        <v>46200</v>
      </c>
      <c r="F33" s="44">
        <f t="shared" si="7"/>
        <v>1100</v>
      </c>
      <c r="G33" s="43">
        <f t="shared" si="7"/>
        <v>67150</v>
      </c>
      <c r="H33" s="44">
        <f t="shared" si="7"/>
        <v>3900</v>
      </c>
      <c r="J33" s="45">
        <f>SUM(J4:J32)</f>
        <v>176100</v>
      </c>
      <c r="K33" s="96">
        <f>SUM(K4:K32)</f>
        <v>5000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5" t="s">
        <v>97</v>
      </c>
      <c r="D1" s="276"/>
      <c r="E1" s="275" t="s">
        <v>98</v>
      </c>
      <c r="F1" s="276"/>
    </row>
    <row r="2" spans="1:9" x14ac:dyDescent="0.35">
      <c r="C2" s="271">
        <f>IF(PREMIOS!$B19="","",PREMIOS!$B19)</f>
        <v>61</v>
      </c>
      <c r="D2" s="272"/>
      <c r="E2" s="271">
        <f>IF(PREMIOS!$C19="","",PREMIOS!$C19)</f>
        <v>88</v>
      </c>
      <c r="F2" s="272"/>
    </row>
    <row r="3" spans="1:9" ht="15" thickBot="1" x14ac:dyDescent="0.4">
      <c r="C3" s="271"/>
      <c r="D3" s="272"/>
      <c r="E3" s="271"/>
      <c r="F3" s="272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2000</v>
      </c>
      <c r="D4" s="79">
        <f t="shared" ref="D4:F27" si="0">IF(C4="","",0)</f>
        <v>0</v>
      </c>
      <c r="E4" s="190">
        <v>1000</v>
      </c>
      <c r="F4" s="79">
        <f t="shared" si="0"/>
        <v>0</v>
      </c>
      <c r="H4" s="42">
        <f>+C4+E4</f>
        <v>3000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1200</v>
      </c>
      <c r="D5" s="30">
        <f t="shared" si="0"/>
        <v>0</v>
      </c>
      <c r="E5" s="181">
        <v>200</v>
      </c>
      <c r="F5" s="30">
        <f t="shared" ref="F5:F27" si="1">IF(E5="","",0)</f>
        <v>0</v>
      </c>
      <c r="H5" s="42">
        <f t="shared" ref="H5:H32" si="2">+C5+E5</f>
        <v>1400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15050</v>
      </c>
      <c r="D8" s="30">
        <f t="shared" si="0"/>
        <v>0</v>
      </c>
      <c r="E8" s="195">
        <v>22250</v>
      </c>
      <c r="F8" s="196">
        <f t="shared" si="1"/>
        <v>0</v>
      </c>
      <c r="H8" s="42">
        <f t="shared" si="2"/>
        <v>37300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35150</v>
      </c>
      <c r="D10" s="30">
        <v>500</v>
      </c>
      <c r="E10" s="181">
        <v>41700</v>
      </c>
      <c r="F10" s="196">
        <f t="shared" si="1"/>
        <v>0</v>
      </c>
      <c r="H10" s="42">
        <f t="shared" si="2"/>
        <v>76850</v>
      </c>
      <c r="I10" s="42">
        <f t="shared" si="3"/>
        <v>500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30400</v>
      </c>
      <c r="D12" s="30">
        <v>300</v>
      </c>
      <c r="E12" s="195"/>
      <c r="F12" s="30" t="str">
        <f t="shared" si="0"/>
        <v/>
      </c>
      <c r="H12" s="42">
        <f t="shared" si="2"/>
        <v>30400</v>
      </c>
      <c r="I12" s="42">
        <f t="shared" si="3"/>
        <v>300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81600</v>
      </c>
      <c r="D17" s="196">
        <v>800</v>
      </c>
      <c r="E17" s="181">
        <v>42700</v>
      </c>
      <c r="F17" s="30">
        <f t="shared" si="0"/>
        <v>0</v>
      </c>
      <c r="H17" s="42">
        <f t="shared" si="2"/>
        <v>124300</v>
      </c>
      <c r="I17" s="42">
        <f t="shared" si="3"/>
        <v>800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29950</v>
      </c>
      <c r="D18" s="196">
        <v>1000</v>
      </c>
      <c r="E18" s="181">
        <v>29700</v>
      </c>
      <c r="F18" s="30">
        <v>100</v>
      </c>
      <c r="H18" s="42">
        <f t="shared" si="2"/>
        <v>59650</v>
      </c>
      <c r="I18" s="42">
        <f t="shared" si="3"/>
        <v>1100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195350</v>
      </c>
      <c r="D33" s="44">
        <f>SUM(D4:D32)</f>
        <v>2600</v>
      </c>
      <c r="E33" s="43">
        <f>SUM(E4:E32)</f>
        <v>137550</v>
      </c>
      <c r="F33" s="44">
        <f>SUM(F4:F32)</f>
        <v>100</v>
      </c>
      <c r="H33" s="96">
        <f>SUM(H4:H32)</f>
        <v>332900</v>
      </c>
      <c r="I33" s="96">
        <f>SUM(I4:I32)</f>
        <v>2700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5" t="s">
        <v>99</v>
      </c>
      <c r="D1" s="276"/>
      <c r="E1" s="275" t="s">
        <v>100</v>
      </c>
      <c r="F1" s="276"/>
      <c r="G1" s="275" t="s">
        <v>101</v>
      </c>
      <c r="H1" s="276"/>
    </row>
    <row r="2" spans="1:11" x14ac:dyDescent="0.35">
      <c r="C2" s="271">
        <f>IF(PREMIOS!$B20="","",PREMIOS!$B20)</f>
        <v>60</v>
      </c>
      <c r="D2" s="272"/>
      <c r="E2" s="271">
        <f>IF(PREMIOS!$C20="","",PREMIOS!$C20)</f>
        <v>36</v>
      </c>
      <c r="F2" s="272"/>
      <c r="G2" s="271">
        <f>IF(PREMIOS!$D20="","",PREMIOS!$D20)</f>
        <v>29</v>
      </c>
      <c r="H2" s="272"/>
    </row>
    <row r="3" spans="1:11" ht="15" thickBot="1" x14ac:dyDescent="0.4">
      <c r="C3" s="271"/>
      <c r="D3" s="272"/>
      <c r="E3" s="271"/>
      <c r="F3" s="272"/>
      <c r="G3" s="271"/>
      <c r="H3" s="272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1000+13750</f>
        <v>14750</v>
      </c>
      <c r="D10" s="196">
        <f t="shared" si="0"/>
        <v>0</v>
      </c>
      <c r="E10" s="181">
        <v>13050</v>
      </c>
      <c r="F10" s="30">
        <f t="shared" si="0"/>
        <v>0</v>
      </c>
      <c r="G10" s="181">
        <v>10700</v>
      </c>
      <c r="H10" s="196">
        <v>100</v>
      </c>
      <c r="J10" s="42">
        <f t="shared" si="3"/>
        <v>38500</v>
      </c>
      <c r="K10" s="42">
        <f t="shared" si="4"/>
        <v>100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79600</v>
      </c>
      <c r="D17" s="30">
        <v>1100</v>
      </c>
      <c r="E17" s="181">
        <v>14500</v>
      </c>
      <c r="F17" s="30">
        <f t="shared" si="0"/>
        <v>0</v>
      </c>
      <c r="G17" s="181">
        <v>37500</v>
      </c>
      <c r="H17" s="30">
        <v>250</v>
      </c>
      <c r="J17" s="42">
        <f t="shared" si="3"/>
        <v>131600</v>
      </c>
      <c r="K17" s="42">
        <f t="shared" si="4"/>
        <v>1350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19250</v>
      </c>
      <c r="D18" s="30">
        <v>150</v>
      </c>
      <c r="E18" s="181">
        <v>3700</v>
      </c>
      <c r="F18" s="30">
        <f t="shared" si="1"/>
        <v>0</v>
      </c>
      <c r="G18" s="181">
        <v>1200</v>
      </c>
      <c r="H18" s="30">
        <f t="shared" si="2"/>
        <v>0</v>
      </c>
      <c r="J18" s="42">
        <f t="shared" si="3"/>
        <v>24150</v>
      </c>
      <c r="K18" s="42">
        <f t="shared" si="4"/>
        <v>150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113600</v>
      </c>
      <c r="D33" s="44">
        <f t="shared" si="6"/>
        <v>1250</v>
      </c>
      <c r="E33" s="43">
        <f t="shared" si="6"/>
        <v>31250</v>
      </c>
      <c r="F33" s="44">
        <f t="shared" si="6"/>
        <v>0</v>
      </c>
      <c r="G33" s="43">
        <f t="shared" si="6"/>
        <v>49400</v>
      </c>
      <c r="H33" s="44">
        <f t="shared" si="6"/>
        <v>350</v>
      </c>
      <c r="J33" s="45">
        <f>SUM(J4:J32)</f>
        <v>194250</v>
      </c>
      <c r="K33" s="96">
        <f>SUM(K4:K32)</f>
        <v>1600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5" t="s">
        <v>110</v>
      </c>
      <c r="D1" s="276"/>
      <c r="E1" s="275" t="s">
        <v>111</v>
      </c>
      <c r="F1" s="276"/>
    </row>
    <row r="2" spans="1:9" x14ac:dyDescent="0.35">
      <c r="C2" s="271">
        <f>IF(PREMIOS!$B21="","",PREMIOS!$B21)</f>
        <v>44</v>
      </c>
      <c r="D2" s="272"/>
      <c r="E2" s="271">
        <f>IF(PREMIOS!$C21="","",PREMIOS!$C21)</f>
        <v>28</v>
      </c>
      <c r="F2" s="272"/>
    </row>
    <row r="3" spans="1:9" ht="15" thickBot="1" x14ac:dyDescent="0.4">
      <c r="C3" s="271"/>
      <c r="D3" s="272"/>
      <c r="E3" s="271"/>
      <c r="F3" s="272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76500</v>
      </c>
      <c r="D10" s="30">
        <f t="shared" si="0"/>
        <v>0</v>
      </c>
      <c r="E10" s="181">
        <v>74250</v>
      </c>
      <c r="F10" s="30">
        <v>3000</v>
      </c>
      <c r="H10" s="42">
        <f t="shared" si="2"/>
        <v>150750</v>
      </c>
      <c r="I10" s="42">
        <f t="shared" si="3"/>
        <v>3000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76500</v>
      </c>
      <c r="D33" s="44">
        <f>SUM(D4:D32)</f>
        <v>0</v>
      </c>
      <c r="E33" s="43">
        <f>SUM(E4:E32)</f>
        <v>74250</v>
      </c>
      <c r="F33" s="44">
        <f>SUM(F4:F32)</f>
        <v>3000</v>
      </c>
      <c r="H33" s="45">
        <f>SUM(H4:H32)</f>
        <v>150750</v>
      </c>
      <c r="I33" s="96">
        <f>SUM(I4:I32)</f>
        <v>3000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5" t="s">
        <v>109</v>
      </c>
      <c r="D1" s="276"/>
    </row>
    <row r="2" spans="1:4" x14ac:dyDescent="0.35">
      <c r="C2" s="271" t="str">
        <f>IF(PREMIOS!$B22="","",PREMIOS!$B22)</f>
        <v/>
      </c>
      <c r="D2" s="272"/>
    </row>
    <row r="3" spans="1:4" ht="15" thickBot="1" x14ac:dyDescent="0.4">
      <c r="C3" s="271"/>
      <c r="D3" s="272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2026-01-23T18:44:53Z</dcterms:modified>
  <dc:language>es-CR</dc:language>
</cp:coreProperties>
</file>
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01- CUENTAS DIARIAS ENERO\"/>
    </mc:Choice>
  </mc:AlternateContent>
  <xr:revisionPtr revIDLastSave="0" documentId="13_ncr:1_{A4D2D1D3-23F9-4DE6-BB67-8E8A7BA50A7B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6" i="60"/>
  <c r="H17" i="60"/>
  <c r="G17" i="60"/>
  <c r="H18" i="60"/>
  <c r="G18" i="60"/>
  <c r="F17" i="60"/>
  <c r="E17" i="60"/>
  <c r="E18" i="60"/>
  <c r="C10" i="62" l="1"/>
  <c r="E10" i="61"/>
  <c r="D17" i="60"/>
  <c r="C17" i="60"/>
  <c r="C10" i="60"/>
  <c r="D18" i="60"/>
  <c r="C18" i="60"/>
  <c r="D10" i="64" l="1"/>
  <c r="C10" i="64"/>
  <c r="D10" i="65"/>
  <c r="C10" i="65"/>
  <c r="C10" i="61"/>
  <c r="C17" i="6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10" i="61"/>
  <c r="D9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5" i="60"/>
  <c r="D13" i="60"/>
  <c r="D11" i="60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17" i="64"/>
  <c r="F8" i="65"/>
  <c r="F18" i="62"/>
  <c r="F10" i="62"/>
  <c r="D5" i="61"/>
  <c r="F18" i="61"/>
  <c r="F16" i="61"/>
  <c r="D6" i="60"/>
  <c r="F18" i="60"/>
  <c r="F15" i="60"/>
  <c r="F14" i="60"/>
  <c r="F11" i="60"/>
  <c r="F9" i="60"/>
  <c r="F8" i="60"/>
  <c r="F7" i="60"/>
  <c r="F6" i="60"/>
  <c r="H16" i="60"/>
  <c r="H15" i="60"/>
  <c r="H12" i="60"/>
  <c r="H11" i="60"/>
  <c r="H9" i="60"/>
  <c r="H8" i="60"/>
  <c r="H7" i="60"/>
  <c r="H6" i="60"/>
  <c r="H5" i="60"/>
  <c r="H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5" i="60"/>
  <c r="F34" i="60"/>
  <c r="D35" i="60"/>
  <c r="D34" i="60"/>
  <c r="J8" i="14"/>
  <c r="D21" i="14"/>
  <c r="C12" i="71"/>
  <c r="D22" i="14"/>
  <c r="G12" i="71"/>
  <c r="E19" i="16"/>
  <c r="D4" i="65"/>
  <c r="D20" i="16"/>
  <c r="F18" i="64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6" i="61"/>
  <c r="H15" i="61"/>
  <c r="H14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19" i="66"/>
  <c r="I16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G33" i="64" s="1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E27" i="72"/>
  <c r="K20" i="19"/>
  <c r="K9" i="19"/>
  <c r="L22" i="71"/>
  <c r="M22" i="71" s="1"/>
  <c r="H23" i="72"/>
  <c r="J30" i="72"/>
  <c r="K30" i="72" s="1"/>
  <c r="J31" i="64"/>
  <c r="E33" i="66"/>
  <c r="L21" i="71"/>
  <c r="M21" i="71" s="1"/>
  <c r="J22" i="71"/>
  <c r="K22" i="71" s="1"/>
  <c r="J31" i="71"/>
  <c r="K31" i="71" s="1"/>
  <c r="D26" i="21"/>
  <c r="J10" i="21"/>
  <c r="C17" i="73"/>
  <c r="F17" i="73" s="1"/>
  <c r="J10" i="8"/>
  <c r="D26" i="19"/>
  <c r="J10" i="19"/>
  <c r="L9" i="19"/>
  <c r="L20" i="71"/>
  <c r="M20" i="71" s="1"/>
  <c r="J30" i="71"/>
  <c r="K30" i="71" s="1"/>
  <c r="D17" i="72"/>
  <c r="J29" i="64"/>
  <c r="H24" i="70"/>
  <c r="J29" i="71"/>
  <c r="J22" i="72"/>
  <c r="K22" i="72" s="1"/>
  <c r="K28" i="70"/>
  <c r="I21" i="72"/>
  <c r="N21" i="72" s="1"/>
  <c r="H30" i="66"/>
  <c r="H21" i="70"/>
  <c r="J24" i="70"/>
  <c r="K24" i="70" s="1"/>
  <c r="F25" i="19"/>
  <c r="F18" i="72"/>
  <c r="J26" i="71"/>
  <c r="L29" i="71"/>
  <c r="M29" i="71" s="1"/>
  <c r="H20" i="72"/>
  <c r="I20" i="72" s="1"/>
  <c r="N20" i="72" s="1"/>
  <c r="J26" i="72"/>
  <c r="K26" i="72" s="1"/>
  <c r="D18" i="72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14" i="71"/>
  <c r="P14" i="71" s="1"/>
  <c r="K9" i="71"/>
  <c r="P9" i="71" s="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2" i="71" l="1"/>
  <c r="P26" i="71"/>
  <c r="L27" i="71"/>
  <c r="M27" i="71" s="1"/>
  <c r="K21" i="19"/>
  <c r="K10" i="19"/>
  <c r="N27" i="71"/>
  <c r="P27" i="71" s="1"/>
  <c r="K21" i="8"/>
  <c r="K10" i="8"/>
  <c r="K20" i="21"/>
  <c r="K10" i="2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M26" i="52" l="1"/>
  <c r="J5" i="23"/>
  <c r="M23" i="52"/>
  <c r="J4" i="23"/>
  <c r="J5" i="19"/>
  <c r="M20" i="52"/>
  <c r="J6" i="23"/>
  <c r="L5" i="23"/>
  <c r="M25" i="52"/>
  <c r="F17" i="52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19" i="59" l="1"/>
  <c r="K5" i="23"/>
  <c r="H32" i="60"/>
  <c r="H33" i="60" s="1"/>
  <c r="F32" i="61"/>
  <c r="L6" i="25"/>
  <c r="H32" i="61"/>
  <c r="H19" i="70"/>
  <c r="I19" i="70" s="1"/>
  <c r="F32" i="60"/>
  <c r="K6" i="23"/>
  <c r="K5" i="19"/>
  <c r="G32" i="60"/>
  <c r="E32" i="60"/>
  <c r="J32" i="61"/>
  <c r="M27" i="5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3" i="58"/>
  <c r="P21" i="58"/>
  <c r="P20" i="58"/>
  <c r="P25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F12" i="15"/>
  <c r="F12" i="19"/>
  <c r="G12" i="19" s="1"/>
  <c r="F12" i="8"/>
  <c r="K21" i="52"/>
  <c r="C20" i="1" s="1"/>
  <c r="B20" i="1"/>
  <c r="K23" i="52"/>
  <c r="C22" i="1" s="1"/>
  <c r="B22" i="1"/>
  <c r="K6" i="52"/>
  <c r="C5" i="1" s="1"/>
  <c r="B5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<sst xmlns="http://schemas.openxmlformats.org/spreadsheetml/2006/main" count="1289" uniqueCount="161">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</sst>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200450</v>
      </c>
      <c r="C3" s="9">
        <f>+HojaTICA!K4+HojaNICA!M4+HojaREVENTADO!K4+HojaPrimera!I4+HojaHonduras!K4+HojaDominicana!I4+HojaPANA!G4</f>
        <v>26050</v>
      </c>
      <c r="D3" s="9">
        <f>+HojaTICA!N4+HojaNICA!P4+HojaREVENTADO!O4+HojaPrimera!L4+HojaHonduras!N4+HojaDominicana!L4+HojaPANA!J4</f>
        <v>33500</v>
      </c>
      <c r="F3" s="10">
        <f t="shared" ref="F3:F27" si="0">+B3-C3-D3</f>
        <v>140900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232950</v>
      </c>
      <c r="C4" s="9">
        <f>+HojaTICA!K5+HojaNICA!M5+HojaREVENTADO!K5+HojaPrimera!I5+HojaHonduras!K5+HojaDominicana!I5+HojaPANA!G5</f>
        <v>30300</v>
      </c>
      <c r="D4" s="9">
        <f>+HojaTICA!N5+HojaNICA!P5+HojaREVENTADO!O5+HojaPrimera!L5+HojaHonduras!N5+HojaDominicana!L5+HojaPANA!J5</f>
        <v>85000</v>
      </c>
      <c r="F4" s="14">
        <f t="shared" si="0"/>
        <v>117650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416900</v>
      </c>
      <c r="C7" s="9">
        <f>+HojaTICA!K8+HojaNICA!M8+HojaREVENTADO!K8+HojaPrimera!I8+HojaHonduras!K8+HojaDominicana!I8+HojaPANA!G8</f>
        <v>50050</v>
      </c>
      <c r="D7" s="9">
        <f>+HojaTICA!N8+HojaNICA!P8+HojaREVENTADO!O8+HojaPrimera!L8+HojaHonduras!N8+HojaDominicana!L8+HojaPANA!J8</f>
        <v>44000</v>
      </c>
      <c r="F7" s="14">
        <f t="shared" si="0"/>
        <v>322850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946400</v>
      </c>
      <c r="C9" s="9">
        <f>+HojaTICA!K10+HojaNICA!M10+HojaREVENTADO!K10+HojaPrimera!I10+HojaHonduras!K10+HojaDominicana!I10+HojaPANA!G10</f>
        <v>112430</v>
      </c>
      <c r="D9" s="9">
        <f>+HojaTICA!N10+HojaNICA!P10+HojaREVENTADO!O10+HojaPrimera!L10+HojaHonduras!N10+HojaDominicana!L10+HojaPANA!J10</f>
        <v>714000</v>
      </c>
      <c r="F9" s="14">
        <f t="shared" si="0"/>
        <v>119970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19900</v>
      </c>
      <c r="C10" s="9">
        <f>+HojaTICA!K11+HojaNICA!M11+HojaREVENTADO!K11+HojaPrimera!I11+HojaHonduras!K11+HojaDominicana!I11+HojaPANA!G11</f>
        <v>2400</v>
      </c>
      <c r="D10" s="9">
        <f>+HojaTICA!N11+HojaNICA!P11+HojaREVENTADO!O11+HojaPrimera!L11+HojaHonduras!N11+HojaDominicana!L11+HojaPANA!J11</f>
        <v>0</v>
      </c>
      <c r="F10" s="14">
        <f t="shared" si="0"/>
        <v>17500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229400</v>
      </c>
      <c r="C11" s="9">
        <f>+HojaTICA!K12+HojaNICA!M12+HojaREVENTADO!K12+HojaPrimera!I12+HojaHonduras!K12+HojaDominicana!I12+HojaPANA!G12</f>
        <v>27490</v>
      </c>
      <c r="D11" s="9">
        <f>+HojaTICA!N12+HojaNICA!P12+HojaREVENTADO!O12+HojaPrimera!L12+HojaHonduras!N12+HojaDominicana!L12+HojaPANA!J12</f>
        <v>136000</v>
      </c>
      <c r="F11" s="14">
        <f t="shared" si="0"/>
        <v>65910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134950</v>
      </c>
      <c r="C12" s="9">
        <f>+HojaTICA!K13+HojaNICA!M13+HojaREVENTADO!K13+HojaPrimera!I13+HojaHonduras!K13+HojaDominicana!I13+HojaPANA!G13</f>
        <v>16200</v>
      </c>
      <c r="D12" s="9">
        <f>+HojaTICA!N13+HojaNICA!P13+HojaREVENTADO!O13+HojaPrimera!L13+HojaHonduras!N13+HojaDominicana!L13+HojaPANA!J13</f>
        <v>134500</v>
      </c>
      <c r="F12" s="14">
        <f t="shared" si="0"/>
        <v>-15750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129600</v>
      </c>
      <c r="C13" s="9">
        <f>+HojaTICA!K14+HojaNICA!M14+HojaREVENTADO!K14+HojaPrimera!I14+HojaHonduras!K14+HojaDominicana!I14+HojaPANA!G14</f>
        <v>19450</v>
      </c>
      <c r="D13" s="9">
        <f>+HojaTICA!N14+HojaNICA!P14+HojaREVENTADO!O14+HojaPrimera!L14+HojaHonduras!N14+HojaDominicana!L14+HojaPANA!J14</f>
        <v>120000</v>
      </c>
      <c r="F13" s="14">
        <f t="shared" si="0"/>
        <v>-9850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8150</v>
      </c>
      <c r="C14" s="9">
        <f>+HojaTICA!K15+HojaNICA!M15+HojaREVENTADO!K15+HojaPrimera!I15+HojaHonduras!K15+HojaDominicana!I15+HojaPANA!G15</f>
        <v>850</v>
      </c>
      <c r="D14" s="9">
        <f>+HojaTICA!N15+HojaNICA!P15+HojaREVENTADO!O15+HojaPrimera!L15+HojaHonduras!N15+HojaDominicana!L15+HojaPANA!J15</f>
        <v>0</v>
      </c>
      <c r="F14" s="14">
        <f t="shared" si="0"/>
        <v>7300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152400</v>
      </c>
      <c r="C15" s="9">
        <f>+HojaTICA!K16+HojaNICA!M16+HojaREVENTADO!K16+HojaPrimera!I16+HojaHonduras!K16+HojaDominicana!I16+HojaPANA!G16</f>
        <v>18300</v>
      </c>
      <c r="D15" s="9">
        <f>+HojaTICA!N16+HojaNICA!P16+HojaREVENTADO!O16+HojaPrimera!L16+HojaHonduras!N16+HojaDominicana!L16+HojaPANA!J16</f>
        <v>85000</v>
      </c>
      <c r="F15" s="14">
        <f t="shared" si="0"/>
        <v>49100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1436750</v>
      </c>
      <c r="C16" s="9">
        <f>+HojaTICA!K17+HojaNICA!M17+HojaREVENTADO!K17+HojaPrimera!I17+HojaHonduras!K17+HojaDominicana!I17+HojaPANA!G17</f>
        <v>170940</v>
      </c>
      <c r="D16" s="9">
        <f>+HojaTICA!N17+HojaNICA!P17+HojaREVENTADO!O17+HojaPrimera!L17+HojaHonduras!N17+HojaDominicana!L17+HojaPANA!J17</f>
        <v>1067250</v>
      </c>
      <c r="F16" s="14">
        <f t="shared" si="0"/>
        <v>198560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347900</v>
      </c>
      <c r="C17" s="9">
        <f>+HojaTICA!K18+HojaNICA!M18+HojaREVENTADO!K18+HojaPrimera!I18+HojaHonduras!K18+HojaDominicana!I18+HojaPANA!G18</f>
        <v>40865</v>
      </c>
      <c r="D17" s="9">
        <f>+HojaTICA!N18+HojaNICA!P18+HojaREVENTADO!O18+HojaPrimera!L18+HojaHonduras!N18+HojaDominicana!L18+HojaPANA!J18</f>
        <v>266500</v>
      </c>
      <c r="F17" s="14">
        <f t="shared" si="0"/>
        <v>40535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4255750</v>
      </c>
      <c r="C28" s="17">
        <f t="shared" si="1"/>
        <v>515325</v>
      </c>
      <c r="D28" s="18">
        <f t="shared" si="1"/>
        <v>2685750</v>
      </c>
      <c r="F28" s="20">
        <f>SUM(F3:F27)</f>
        <v>1054675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85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36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42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18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45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96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 t="s">
        <v>160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17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60</v>
      </c>
      <c r="C20" s="164">
        <v>91</v>
      </c>
      <c r="D20" s="167">
        <v>11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40</v>
      </c>
      <c r="C21" s="165">
        <v>71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36</v>
      </c>
      <c r="D2" s="269"/>
      <c r="E2" s="268">
        <f>DigitaTICA!E2</f>
        <v>18</v>
      </c>
      <c r="F2" s="269"/>
      <c r="G2" s="268">
        <f>DigitaTICA!G2</f>
        <v>96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39900</v>
      </c>
      <c r="D4" s="30">
        <f>IF(Vendedor1!$E$7="",0,Vendedor1!$E$7)</f>
        <v>0</v>
      </c>
      <c r="E4" s="181">
        <f>IF(Vendedor1!$C$11="",0,Vendedor1!$C$11)</f>
        <v>21950</v>
      </c>
      <c r="F4" s="30">
        <f>IF(Vendedor1!$E$11="",0,Vendedor1!$E$11)</f>
        <v>300</v>
      </c>
      <c r="G4" s="181">
        <f>IF(Vendedor1!$C$15="",0,Vendedor1!$C$15)</f>
        <v>90100</v>
      </c>
      <c r="H4" s="30">
        <f>IF(Vendedor1!$E$15="",0,Vendedor1!$E$15)</f>
        <v>0</v>
      </c>
      <c r="J4" s="42">
        <f t="shared" ref="J4:J7" si="0">+C4+E4+G4</f>
        <v>151950</v>
      </c>
      <c r="K4" s="41">
        <f>MROUND(J4*Vendedor1!J$9,50)</f>
        <v>19750</v>
      </c>
      <c r="L4" s="42">
        <f t="shared" ref="L4:L7" si="1">+D4+F4+H4</f>
        <v>300</v>
      </c>
      <c r="M4" s="42">
        <f t="shared" ref="M4:M7" si="2">+L4*85</f>
        <v>25500</v>
      </c>
      <c r="N4" s="42">
        <f>Vendedor1!$F$7+Vendedor1!$F$11+Vendedor1!$F$15</f>
        <v>25500</v>
      </c>
      <c r="P4" s="42">
        <f t="shared" ref="P4:P7" si="3">+J4-K4-N4</f>
        <v>106700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58700</v>
      </c>
      <c r="D5" s="30">
        <f>IF(Vendedor2!$E$7="",0,Vendedor2!$E$7)</f>
        <v>250</v>
      </c>
      <c r="E5" s="181">
        <f>IF(Vendedor2!$C$11="",0,Vendedor2!$C$11)</f>
        <v>39550</v>
      </c>
      <c r="F5" s="30">
        <f>IF(Vendedor2!$E$11="",0,Vendedor2!$E$11)</f>
        <v>750</v>
      </c>
      <c r="G5" s="181">
        <f>IF(Vendedor2!$C$15="",0,Vendedor2!$C$15)</f>
        <v>95850</v>
      </c>
      <c r="H5" s="30">
        <f>IF(Vendedor2!$E$15="",0,Vendedor2!$E$15)</f>
        <v>0</v>
      </c>
      <c r="J5" s="42">
        <f t="shared" si="0"/>
        <v>194100</v>
      </c>
      <c r="K5" s="41">
        <f>MROUND(J5*Vendedor2!J$9,50)</f>
        <v>25250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83850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94100</v>
      </c>
      <c r="D8" s="30">
        <f>IF(Vendedor5!$E$7="",0,Vendedor5!$E$7)</f>
        <v>0</v>
      </c>
      <c r="E8" s="181">
        <f>IF(Vendedor5!$C$11="",0,Vendedor5!$C$11)</f>
        <v>62350</v>
      </c>
      <c r="F8" s="30">
        <f>IF(Vendedor5!$E$11="",0,Vendedor5!$E$11)</f>
        <v>0</v>
      </c>
      <c r="G8" s="181">
        <f>IF(Vendedor5!$C$15="",0,Vendedor5!$C$15)</f>
        <v>52750</v>
      </c>
      <c r="H8" s="30">
        <f>IF(Vendedor5!$E$15="",0,Vendedor5!$E$15)</f>
        <v>0</v>
      </c>
      <c r="J8" s="42">
        <f t="shared" ref="J8" si="4">+C8+E8+G8</f>
        <v>209200</v>
      </c>
      <c r="K8" s="41">
        <f>MROUND(J8*Vendedor5!J$11,50)</f>
        <v>25100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184100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150350</v>
      </c>
      <c r="D10" s="30">
        <f>IF(Vendedor7!$E$7="",0,Vendedor7!$E$7)</f>
        <v>100</v>
      </c>
      <c r="E10" s="181">
        <f>IF(Vendedor7!$C$11="",0,Vendedor7!$C$11)</f>
        <v>77900</v>
      </c>
      <c r="F10" s="30">
        <f>IF(Vendedor7!$E$11="",0,Vendedor7!$E$11)</f>
        <v>1700</v>
      </c>
      <c r="G10" s="181">
        <f>IF(Vendedor7!$C$15="",0,Vendedor7!$C$15)</f>
        <v>133400</v>
      </c>
      <c r="H10" s="30">
        <f>IF(Vendedor7!$E$15="",0,Vendedor7!$E$15)</f>
        <v>550</v>
      </c>
      <c r="J10" s="42">
        <f t="shared" si="8"/>
        <v>361650</v>
      </c>
      <c r="K10" s="41">
        <f>MROUND(J10*Vendedor7!J$14,50)</f>
        <v>43400</v>
      </c>
      <c r="L10" s="42">
        <f t="shared" si="9"/>
        <v>2350</v>
      </c>
      <c r="M10" s="42">
        <f t="shared" si="10"/>
        <v>199750</v>
      </c>
      <c r="N10" s="42">
        <f>Vendedor7!$F$7+Vendedor7!$F$11+Vendedor7!$F$15</f>
        <v>199750</v>
      </c>
      <c r="P10" s="42">
        <f t="shared" si="11"/>
        <v>118500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7100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12800</v>
      </c>
      <c r="H11" s="30">
        <f>IF(Vendedor8!$E$15="",0,Vendedor8!$E$15)</f>
        <v>0</v>
      </c>
      <c r="J11" s="42">
        <f t="shared" si="8"/>
        <v>19900</v>
      </c>
      <c r="K11" s="41">
        <f>MROUND(J11*Vendedor8!J$11,50)</f>
        <v>2400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42350</v>
      </c>
      <c r="D12" s="30">
        <f>IF(Vendedor9!$E$7="",0,Vendedor9!$E$7)</f>
        <v>300</v>
      </c>
      <c r="E12" s="181">
        <f>IF(Vendedor9!$C$11="",0,Vendedor9!$C$11)</f>
        <v>18300</v>
      </c>
      <c r="F12" s="30">
        <f>IF(Vendedor9!$E$11="",0,Vendedor9!$E$11)</f>
        <v>300</v>
      </c>
      <c r="G12" s="181">
        <f>IF(Vendedor9!$C$15="",0,Vendedor9!$C$15)</f>
        <v>24650</v>
      </c>
      <c r="H12" s="30">
        <f>IF(Vendedor9!$E$15="",0,Vendedor9!$E$15)</f>
        <v>0</v>
      </c>
      <c r="J12" s="42">
        <f t="shared" si="8"/>
        <v>85300</v>
      </c>
      <c r="K12" s="41">
        <f>MROUND(J12*Vendedor9!J$11,50)</f>
        <v>10250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24050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24700</v>
      </c>
      <c r="D13" s="30">
        <f>IF(Vendedor10!$E$7="",0,Vendedor10!$E$7)</f>
        <v>0</v>
      </c>
      <c r="E13" s="181">
        <f>IF(Vendedor10!$C$11="",0,Vendedor10!$C$11)</f>
        <v>18250</v>
      </c>
      <c r="F13" s="30">
        <f>IF(Vendedor10!$E$11="",0,Vendedor10!$E$11)</f>
        <v>1100</v>
      </c>
      <c r="G13" s="181">
        <f>IF(Vendedor10!$C$15="",0,Vendedor10!$C$15)</f>
        <v>43850</v>
      </c>
      <c r="H13" s="30">
        <f>IF(Vendedor10!$E$15="",0,Vendedor10!$E$15)</f>
        <v>200</v>
      </c>
      <c r="J13" s="42">
        <f t="shared" si="8"/>
        <v>86800</v>
      </c>
      <c r="K13" s="41">
        <f>MROUND(J13*Vendedor10!J$9,50)</f>
        <v>10400</v>
      </c>
      <c r="L13" s="42">
        <f t="shared" si="9"/>
        <v>1300</v>
      </c>
      <c r="M13" s="42">
        <f t="shared" si="10"/>
        <v>110500</v>
      </c>
      <c r="N13" s="42">
        <f>Vendedor10!$F$7+Vendedor10!$F$11+Vendedor10!$F$15</f>
        <v>110500</v>
      </c>
      <c r="P13" s="42">
        <f t="shared" si="11"/>
        <v>-34100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51100</v>
      </c>
      <c r="D14" s="30">
        <f>IF(Vendedor11!$E$7="",0,Vendedor11!$E$7)</f>
        <v>1300</v>
      </c>
      <c r="E14" s="181">
        <f>IF(Vendedor11!$C$11="",0,Vendedor11!$C$11)</f>
        <v>19800</v>
      </c>
      <c r="F14" s="30">
        <f>IF(Vendedor11!$E$11="",0,Vendedor11!$E$11)</f>
        <v>0</v>
      </c>
      <c r="G14" s="181">
        <f>IF(Vendedor11!$C$15="",0,Vendedor11!$C$15)</f>
        <v>58700</v>
      </c>
      <c r="H14" s="30">
        <f>IF(Vendedor11!$E$15="",0,Vendedor11!$E$15)</f>
        <v>200</v>
      </c>
      <c r="J14" s="42">
        <f t="shared" si="8"/>
        <v>129600</v>
      </c>
      <c r="K14" s="41">
        <f>MROUND(J14*Vendedor11!J$9,50)</f>
        <v>19450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-9850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2300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2400</v>
      </c>
      <c r="H15" s="30">
        <f>IF(Vendedor12!$E$15="",0,Vendedor12!$E$15)</f>
        <v>0</v>
      </c>
      <c r="J15" s="42">
        <f t="shared" si="8"/>
        <v>4700</v>
      </c>
      <c r="K15" s="41">
        <f>MROUND(J15*Vendedor12!J$9,50)</f>
        <v>450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4250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38100</v>
      </c>
      <c r="D16" s="30">
        <f>IF(Vendedor13!$E$7="",0,Vendedor13!$E$7)</f>
        <v>500</v>
      </c>
      <c r="E16" s="181">
        <f>IF(Vendedor13!$C$11="",0,Vendedor13!$C$11)</f>
        <v>29200</v>
      </c>
      <c r="F16" s="30">
        <f>IF(Vendedor13!$E$11="",0,Vendedor13!$E$11)</f>
        <v>500</v>
      </c>
      <c r="G16" s="181">
        <f>IF(Vendedor13!$C$15="",0,Vendedor13!$C$15)</f>
        <v>31700</v>
      </c>
      <c r="H16" s="30">
        <f>IF(Vendedor13!$E$15="",0,Vendedor13!$E$15)</f>
        <v>0</v>
      </c>
      <c r="J16" s="42">
        <f t="shared" si="8"/>
        <v>99000</v>
      </c>
      <c r="K16" s="41">
        <f>MROUND(J16*Vendedor13!J$11,50)</f>
        <v>11900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2100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160800</v>
      </c>
      <c r="D17" s="30">
        <f>IF(Vendedor14!$E$7="",0,Vendedor14!$E$7)</f>
        <v>700</v>
      </c>
      <c r="E17" s="181">
        <f>IF(Vendedor14!$C$11="",0,Vendedor14!$C$11)</f>
        <v>147900</v>
      </c>
      <c r="F17" s="30">
        <f>IF(Vendedor14!$E$11="",0,Vendedor14!$E$11)</f>
        <v>1150</v>
      </c>
      <c r="G17" s="181">
        <f>IF(Vendedor14!$C$15="",0,Vendedor14!$C$15)</f>
        <v>230950</v>
      </c>
      <c r="H17" s="30">
        <f>IF(Vendedor14!$E$15="",0,Vendedor14!$E$15)</f>
        <v>400</v>
      </c>
      <c r="J17" s="42">
        <f t="shared" si="8"/>
        <v>539650</v>
      </c>
      <c r="K17" s="41">
        <f>MROUND(J17*Vendedor14!J$15,50)</f>
        <v>64750</v>
      </c>
      <c r="L17" s="42">
        <f t="shared" si="9"/>
        <v>2250</v>
      </c>
      <c r="M17" s="42">
        <f t="shared" si="10"/>
        <v>191250</v>
      </c>
      <c r="N17" s="42">
        <f>Vendedor14!$F$7+Vendedor14!$F$11+Vendedor14!$F$15</f>
        <v>191250</v>
      </c>
      <c r="P17" s="42">
        <f t="shared" si="11"/>
        <v>283650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39950</v>
      </c>
      <c r="D18" s="30">
        <f>IF(Vendedor15!$E$7="",0,Vendedor15!$E$7)</f>
        <v>100</v>
      </c>
      <c r="E18" s="181">
        <f>IF(Vendedor15!$C$11="",0,Vendedor15!$C$11)</f>
        <v>25100</v>
      </c>
      <c r="F18" s="30">
        <f>IF(Vendedor15!$E$11="",0,Vendedor15!$E$11)</f>
        <v>0</v>
      </c>
      <c r="G18" s="181">
        <f>IF(Vendedor15!$C$15="",0,Vendedor15!$C$15)</f>
        <v>53100</v>
      </c>
      <c r="H18" s="30">
        <f>IF(Vendedor15!$E$15="",0,Vendedor15!$E$15)</f>
        <v>200</v>
      </c>
      <c r="J18" s="42">
        <f t="shared" ref="J18" si="12">+C18+E18+G18</f>
        <v>118150</v>
      </c>
      <c r="K18" s="41">
        <f>MROUND(J18*Vendedor15!J$15,50)</f>
        <v>14200</v>
      </c>
      <c r="L18" s="42">
        <f t="shared" ref="L18" si="13">+D18+F18+H18</f>
        <v>300</v>
      </c>
      <c r="M18" s="42">
        <f t="shared" ref="M18" si="14">+L18*85</f>
        <v>25500</v>
      </c>
      <c r="N18" s="42">
        <f>Vendedor15!$F$7+Vendedor15!$F$11+Vendedor15!$F$15</f>
        <v>25500</v>
      </c>
      <c r="P18" s="42">
        <f t="shared" ref="P18" si="15">+J18-K18-N18</f>
        <v>78450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709450</v>
      </c>
      <c r="D32" s="44">
        <f t="shared" si="16"/>
        <v>3250</v>
      </c>
      <c r="E32" s="43">
        <f t="shared" si="16"/>
        <v>460300</v>
      </c>
      <c r="F32" s="44">
        <f t="shared" si="16"/>
        <v>5800</v>
      </c>
      <c r="G32" s="43">
        <f t="shared" si="16"/>
        <v>830250</v>
      </c>
      <c r="H32" s="44">
        <f t="shared" si="16"/>
        <v>1550</v>
      </c>
      <c r="J32" s="96">
        <f>SUM(J4:J31)</f>
        <v>2000000</v>
      </c>
      <c r="K32" s="45">
        <f>SUM(K7:K31)</f>
        <v>202300</v>
      </c>
      <c r="L32" s="96">
        <f>SUM(L4:L31)</f>
        <v>10600</v>
      </c>
      <c r="M32" s="96">
        <f>SUM(M4:M31)</f>
        <v>901000</v>
      </c>
      <c r="N32" s="96">
        <f>SUM(N4:N31)</f>
        <v>893500</v>
      </c>
      <c r="P32" s="80">
        <f>SUM(P4:P31)</f>
        <v>859200</v>
      </c>
    </row>
    <row r="33" spans="3:13" x14ac:dyDescent="0.35">
      <c r="D33" s="100">
        <f>+D32*85</f>
        <v>276250</v>
      </c>
      <c r="F33" s="100">
        <f>+F32*85</f>
        <v>493000</v>
      </c>
      <c r="H33" s="100">
        <f>+H32*85</f>
        <v>131750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2000000</v>
      </c>
      <c r="E36" s="43">
        <f>+D36-J4-J5-J6</f>
        <v>1653950</v>
      </c>
      <c r="G36" s="102"/>
    </row>
    <row r="37" spans="3:13" x14ac:dyDescent="0.35">
      <c r="C37" s="47" t="s">
        <v>33</v>
      </c>
      <c r="D37" s="48">
        <f>D36*13%</f>
        <v>260000</v>
      </c>
      <c r="E37">
        <f>+D37-K4-K5-K6</f>
        <v>215000</v>
      </c>
      <c r="G37" s="101"/>
      <c r="H37" s="101"/>
    </row>
    <row r="38" spans="3:13" ht="15" thickBot="1" x14ac:dyDescent="0.4">
      <c r="C38" s="47" t="s">
        <v>30</v>
      </c>
      <c r="D38" s="30">
        <f>M32</f>
        <v>901000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839000</v>
      </c>
      <c r="F39" s="99">
        <f>+P32-D39</f>
        <v>20200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839000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85</v>
      </c>
      <c r="D2" s="269"/>
      <c r="E2" s="268">
        <f>DigitaNICA!E2</f>
        <v>42</v>
      </c>
      <c r="F2" s="269"/>
      <c r="G2" s="268">
        <f>DigitaNICA!G2</f>
        <v>45</v>
      </c>
      <c r="H2" s="269"/>
      <c r="I2" s="268" t="str">
        <f>DigitaNICA!I2</f>
        <v>04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16950</v>
      </c>
      <c r="D4" s="79">
        <f>IF(Vendedor1!$E$5="",0,Vendedor1!$E$5)</f>
        <v>100</v>
      </c>
      <c r="E4" s="190">
        <f>IF(Vendedor1!$C$9="",0,Vendedor1!$C$9)</f>
        <v>14950</v>
      </c>
      <c r="F4" s="79">
        <f>IF(Vendedor1!$E$9="",0,Vendedor1!$E$9)</f>
        <v>0</v>
      </c>
      <c r="G4" s="190">
        <f>IF(Vendedor1!$C$13="",0,Vendedor1!$C$13)</f>
        <v>1600</v>
      </c>
      <c r="H4" s="79">
        <f>IF(Vendedor1!$E$13="",0,Vendedor1!$E$13)</f>
        <v>0</v>
      </c>
      <c r="I4" s="190">
        <f>IF(Vendedor1!$C$17="",0,Vendedor1!$C$17)</f>
        <v>5600</v>
      </c>
      <c r="J4" s="79">
        <f>IF(Vendedor1!$E$17="",0,Vendedor1!$E$17)</f>
        <v>0</v>
      </c>
      <c r="L4" s="42">
        <f t="shared" ref="L4:L7" si="0">C4+E4+G4+I4</f>
        <v>39100</v>
      </c>
      <c r="M4" s="41">
        <f>MROUND(L4*Vendedor1!J$10,50)</f>
        <v>5100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25500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23350</v>
      </c>
      <c r="D5" s="30">
        <f>IF(Vendedor2!$E$5="",0,Vendedor2!$E$5)</f>
        <v>0</v>
      </c>
      <c r="E5" s="181">
        <f>IF(Vendedor2!$C$9="",0,Vendedor2!$C$9)</f>
        <v>5150</v>
      </c>
      <c r="F5" s="30">
        <f>IF(Vendedor2!$E$9="",0,Vendedor2!$E$9)</f>
        <v>0</v>
      </c>
      <c r="G5" s="181">
        <f>IF(Vendedor2!$C$13="",0,Vendedor2!$C$13)</f>
        <v>1400</v>
      </c>
      <c r="H5" s="30">
        <f>IF(Vendedor2!$E$13="",0,Vendedor2!$E$13)</f>
        <v>0</v>
      </c>
      <c r="I5" s="181">
        <f>IF(Vendedor2!$C$17="",0,Vendedor2!$C$17)</f>
        <v>3000</v>
      </c>
      <c r="J5" s="30">
        <f>IF(Vendedor2!$E$17="",0,Vendedor2!$E$17)</f>
        <v>0</v>
      </c>
      <c r="L5" s="42">
        <f t="shared" si="0"/>
        <v>32900</v>
      </c>
      <c r="M5" s="41">
        <f>MROUND(L5*Vendedor2!J$10,50)</f>
        <v>4300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28600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94250</v>
      </c>
      <c r="D8" s="30">
        <f>IF(Vendedor5!$E$5="",0,Vendedor5!$E$5)</f>
        <v>250</v>
      </c>
      <c r="E8" s="181">
        <f>IF(Vendedor5!$C$9="",0,Vendedor5!$C$9)</f>
        <v>68150</v>
      </c>
      <c r="F8" s="30">
        <f>IF(Vendedor5!$E$9="",0,Vendedor5!$E$9)</f>
        <v>0</v>
      </c>
      <c r="G8" s="181">
        <f>IF(Vendedor5!$C$13="",0,Vendedor5!$C$13)</f>
        <v>1250</v>
      </c>
      <c r="H8" s="30">
        <f>IF(Vendedor5!$E$13="",0,Vendedor5!$E$13)</f>
        <v>0</v>
      </c>
      <c r="I8" s="181">
        <f>IF(Vendedor5!$C$17="",0,Vendedor5!$C$17)</f>
        <v>12400</v>
      </c>
      <c r="J8" s="30">
        <f>IF(Vendedor5!$E$17="",0,Vendedor5!$E$17)</f>
        <v>0</v>
      </c>
      <c r="L8" s="42">
        <f t="shared" ref="L8" si="4">C8+E8+G8+I8</f>
        <v>176050</v>
      </c>
      <c r="M8" s="41">
        <f>MROUND(L8*Vendedor5!J$12,50)</f>
        <v>21150</v>
      </c>
      <c r="N8" s="42">
        <f t="shared" ref="N8" si="5">D8+F8+H8+J8</f>
        <v>250</v>
      </c>
      <c r="O8" s="41">
        <f t="shared" si="3"/>
        <v>21250</v>
      </c>
      <c r="P8" s="42">
        <f>Vendedor5!$F$5+Vendedor5!$F$9+Vendedor5!$F$13+Vendedor5!$F$17</f>
        <v>20000</v>
      </c>
      <c r="Q8">
        <v>17</v>
      </c>
      <c r="R8" s="41">
        <f t="shared" ref="R8" si="6">+L8-M8-O8</f>
        <v>133650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144700</v>
      </c>
      <c r="D10" s="30">
        <f>IF(Vendedor7!$E$5="",0,Vendedor7!$E$5)</f>
        <v>0</v>
      </c>
      <c r="E10" s="181">
        <f>IF(Vendedor7!$C$9="",0,Vendedor7!$C$9)</f>
        <v>67350</v>
      </c>
      <c r="F10" s="30">
        <f>IF(Vendedor7!$E$9="",0,Vendedor7!$E$9)</f>
        <v>0</v>
      </c>
      <c r="G10" s="181">
        <f>IF(Vendedor7!$C$13="",0,Vendedor7!$C$13)</f>
        <v>49450</v>
      </c>
      <c r="H10" s="30">
        <f>IF(Vendedor7!$E$13="",0,Vendedor7!$E$13)</f>
        <v>100</v>
      </c>
      <c r="I10" s="181">
        <f>IF(Vendedor7!$C$17="",0,Vendedor7!$C$17)</f>
        <v>81150</v>
      </c>
      <c r="J10" s="30">
        <f>IF(Vendedor7!$E$17="",0,Vendedor7!$E$17)</f>
        <v>5300</v>
      </c>
      <c r="L10" s="42">
        <f t="shared" si="7"/>
        <v>342650</v>
      </c>
      <c r="M10" s="41">
        <f>MROUND(L10*Vendedor7!J$15,50)</f>
        <v>41100</v>
      </c>
      <c r="N10" s="42">
        <f t="shared" ref="N10:N27" si="9">D10+F10+H10+J10</f>
        <v>5400</v>
      </c>
      <c r="O10" s="41">
        <f t="shared" si="3"/>
        <v>459000</v>
      </c>
      <c r="P10" s="42">
        <f>Vendedor7!$F$5+Vendedor7!$F$9+Vendedor7!$F$13+Vendedor7!$F$17</f>
        <v>459000</v>
      </c>
      <c r="R10" s="41">
        <f t="shared" si="8"/>
        <v>-157450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42600</v>
      </c>
      <c r="D12" s="30">
        <f>IF(Vendedor9!$E$5="",0,Vendedor9!$E$5)</f>
        <v>350</v>
      </c>
      <c r="E12" s="181">
        <f>IF(Vendedor9!$C$9="",0,Vendedor9!$C$9)</f>
        <v>21050</v>
      </c>
      <c r="F12" s="30">
        <f>IF(Vendedor9!$E$9="",0,Vendedor9!$E$9)</f>
        <v>250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63650</v>
      </c>
      <c r="M12" s="41">
        <f>MROUND(L12*Vendedor9!J$12,50)</f>
        <v>7650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5000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20700</v>
      </c>
      <c r="D13" s="30">
        <f>IF(Vendedor10!$E$5="",0,Vendedor10!$E$5)</f>
        <v>0</v>
      </c>
      <c r="E13" s="181">
        <f>IF(Vendedor10!$C$9="",0,Vendedor10!$C$9)</f>
        <v>19050</v>
      </c>
      <c r="F13" s="30">
        <f>IF(Vendedor10!$E$9="",0,Vendedor10!$E$9)</f>
        <v>200</v>
      </c>
      <c r="G13" s="181">
        <f>IF(Vendedor10!$C$13="",0,Vendedor10!$C$13)</f>
        <v>2200</v>
      </c>
      <c r="H13" s="30">
        <f>IF(Vendedor10!$E$13="",0,Vendedor10!$E$13)</f>
        <v>100</v>
      </c>
      <c r="I13" s="181">
        <f>IF(Vendedor10!$C$17="",0,Vendedor10!$C$17)</f>
        <v>6200</v>
      </c>
      <c r="J13" s="30">
        <f>IF(Vendedor10!$E$17="",0,Vendedor10!$E$17)</f>
        <v>0</v>
      </c>
      <c r="L13" s="42">
        <f t="shared" si="7"/>
        <v>48150</v>
      </c>
      <c r="M13" s="41">
        <f>MROUND(L13*Vendedor10!J$10,50)</f>
        <v>5800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16850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3450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3450</v>
      </c>
      <c r="M15" s="41">
        <f>MROUND(L15*Vendedor12!J$10,50)</f>
        <v>400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3050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8300</v>
      </c>
      <c r="D16" s="30">
        <f>IF(Vendedor13!$E$5="",0,Vendedor13!$E$5)</f>
        <v>0</v>
      </c>
      <c r="E16" s="181">
        <f>IF(Vendedor13!$C$9="",0,Vendedor13!$C$9)</f>
        <v>10100</v>
      </c>
      <c r="F16" s="30">
        <f>IF(Vendedor13!$E$9="",0,Vendedor13!$E$9)</f>
        <v>0</v>
      </c>
      <c r="G16" s="181">
        <f>IF(Vendedor13!$C$13="",0,Vendedor13!$C$13)</f>
        <v>4900</v>
      </c>
      <c r="H16" s="30">
        <f>IF(Vendedor13!$E$13="",0,Vendedor13!$E$13)</f>
        <v>0</v>
      </c>
      <c r="I16" s="181">
        <f>IF(Vendedor13!$C$17="",0,Vendedor13!$C$17)</f>
        <v>22700</v>
      </c>
      <c r="J16" s="30">
        <f>IF(Vendedor13!$E$17="",0,Vendedor13!$E$17)</f>
        <v>0</v>
      </c>
      <c r="L16" s="42">
        <f t="shared" si="7"/>
        <v>46000</v>
      </c>
      <c r="M16" s="41">
        <f>MROUND(L16*Vendedor13!J$12,50)</f>
        <v>5500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40500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158300</v>
      </c>
      <c r="D17" s="30">
        <f>IF(Vendedor14!$E$5="",0,Vendedor14!$E$5)</f>
        <v>1150</v>
      </c>
      <c r="E17" s="181">
        <f>IF(Vendedor14!$C$9="",0,Vendedor14!$C$9)</f>
        <v>114000</v>
      </c>
      <c r="F17" s="30">
        <f>IF(Vendedor14!$E$9="",0,Vendedor14!$E$9)</f>
        <v>900</v>
      </c>
      <c r="G17" s="181">
        <f>IF(Vendedor14!$C$13="",0,Vendedor14!$C$13)</f>
        <v>109400</v>
      </c>
      <c r="H17" s="30">
        <f>IF(Vendedor14!$E$13="",0,Vendedor14!$E$13)</f>
        <v>800</v>
      </c>
      <c r="I17" s="181">
        <f>IF(Vendedor14!$C$17="",0,Vendedor14!$C$17)</f>
        <v>178250</v>
      </c>
      <c r="J17" s="30">
        <f>IF(Vendedor14!$E$17="",0,Vendedor14!$E$17)</f>
        <v>1600</v>
      </c>
      <c r="L17" s="42">
        <f>C17+E17+G17+I17</f>
        <v>559950</v>
      </c>
      <c r="M17" s="41">
        <f>MROUND(L17*Vendedor14!J$16,50)</f>
        <v>67200</v>
      </c>
      <c r="N17" s="42">
        <f t="shared" si="9"/>
        <v>4450</v>
      </c>
      <c r="O17" s="41">
        <f t="shared" si="3"/>
        <v>378250</v>
      </c>
      <c r="P17" s="42">
        <f>Vendedor14!$F$5+Vendedor14!$F$9+Vendedor14!$F$13+Vendedor14!$F$17</f>
        <v>378250</v>
      </c>
      <c r="R17" s="41">
        <f t="shared" si="8"/>
        <v>114500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34550</v>
      </c>
      <c r="D18" s="30">
        <f>IF(Vendedor15!$E$5="",0,Vendedor15!$E$5)</f>
        <v>200</v>
      </c>
      <c r="E18" s="181">
        <f>IF(Vendedor15!$C$9="",0,Vendedor15!$C$9)</f>
        <v>46750</v>
      </c>
      <c r="F18" s="30">
        <f>IF(Vendedor15!$E$9="",0,Vendedor15!$E$9)</f>
        <v>0</v>
      </c>
      <c r="G18" s="181">
        <f>IF(Vendedor15!$C$13="",0,Vendedor15!$C$13)</f>
        <v>26700</v>
      </c>
      <c r="H18" s="30">
        <f>IF(Vendedor15!$E$13="",0,Vendedor15!$E$13)</f>
        <v>1000</v>
      </c>
      <c r="I18" s="181">
        <f>IF(Vendedor15!$C$17="",0,Vendedor15!$C$17)</f>
        <v>15500</v>
      </c>
      <c r="J18" s="30">
        <f>IF(Vendedor15!$E$17="",0,Vendedor15!$E$17)</f>
        <v>0</v>
      </c>
      <c r="L18" s="42">
        <f t="shared" ref="L18:L27" si="10">C18+E18+G18+I18</f>
        <v>123500</v>
      </c>
      <c r="M18" s="41">
        <f>MROUND(L18*Vendedor15!J$16,50)</f>
        <v>14800</v>
      </c>
      <c r="N18" s="42">
        <f t="shared" si="9"/>
        <v>1200</v>
      </c>
      <c r="O18" s="41">
        <f t="shared" si="3"/>
        <v>102000</v>
      </c>
      <c r="P18" s="42">
        <f>Vendedor15!$F$5+Vendedor15!$F$9+Vendedor15!$F$13+Vendedor15!$F$17</f>
        <v>102000</v>
      </c>
      <c r="R18" s="41">
        <f t="shared" si="8"/>
        <v>6700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547150</v>
      </c>
      <c r="D32" s="44">
        <f t="shared" si="14"/>
        <v>2050</v>
      </c>
      <c r="E32" s="43">
        <f t="shared" si="14"/>
        <v>366550</v>
      </c>
      <c r="F32" s="44">
        <f t="shared" si="14"/>
        <v>1350</v>
      </c>
      <c r="G32" s="43">
        <f t="shared" si="14"/>
        <v>196900</v>
      </c>
      <c r="H32" s="44">
        <f t="shared" si="14"/>
        <v>2000</v>
      </c>
      <c r="I32" s="43">
        <f t="shared" si="14"/>
        <v>324800</v>
      </c>
      <c r="J32" s="44">
        <f t="shared" si="14"/>
        <v>6900</v>
      </c>
      <c r="L32" s="45">
        <f>SUM(L4:L31)</f>
        <v>1435400</v>
      </c>
      <c r="M32" s="45">
        <f>SUM(M7:M31)</f>
        <v>163600</v>
      </c>
      <c r="N32" s="96">
        <f>SUM(N4:N31)</f>
        <v>12300</v>
      </c>
      <c r="O32" s="46">
        <f>SUM(O4:O31)</f>
        <v>1045500</v>
      </c>
      <c r="P32" s="141">
        <f>SUM(P4:P31)</f>
        <v>1042250</v>
      </c>
      <c r="R32" s="80">
        <f>SUM(R4:R31)</f>
        <v>216900</v>
      </c>
    </row>
    <row r="33" spans="3:15" x14ac:dyDescent="0.35">
      <c r="D33" s="121">
        <f>+D32*85</f>
        <v>174250</v>
      </c>
      <c r="F33" s="121">
        <f>+F32*85</f>
        <v>114750</v>
      </c>
      <c r="H33" s="121">
        <f>+H32*85</f>
        <v>170000</v>
      </c>
      <c r="J33" s="121">
        <f>+J32*85</f>
        <v>586500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1435400</v>
      </c>
      <c r="E36" s="43">
        <f>+D36-L4-L5-L6</f>
        <v>1363400</v>
      </c>
    </row>
    <row r="37" spans="3:15" x14ac:dyDescent="0.35">
      <c r="C37" s="47" t="s">
        <v>33</v>
      </c>
      <c r="D37" s="48">
        <f>D36*13%</f>
        <v>186602</v>
      </c>
      <c r="E37">
        <f>+D37-M4-M5-M6</f>
        <v>177202</v>
      </c>
    </row>
    <row r="38" spans="3:15" x14ac:dyDescent="0.35">
      <c r="C38" s="47" t="s">
        <v>30</v>
      </c>
      <c r="D38" s="30">
        <f>SUM(O4:O27)</f>
        <v>1045500</v>
      </c>
      <c r="G38" s="101"/>
    </row>
    <row r="39" spans="3:15" ht="15" thickBot="1" x14ac:dyDescent="0.4">
      <c r="C39" s="49" t="s">
        <v>4</v>
      </c>
      <c r="D39" s="81">
        <f>+D36-D37-D38</f>
        <v>203298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203298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36 Roja</v>
      </c>
      <c r="D2" s="269"/>
      <c r="E2" s="268" t="str">
        <f>IF(E33=0,"",CONCATENATE(PREMIOS!$B11," ",PREMIOS!$B12))</f>
        <v>18 Blanca</v>
      </c>
      <c r="F2" s="269"/>
      <c r="G2" s="268" t="str">
        <f>IF(G33=0,"",CONCATENATE(PREMIOS!$B15," ",PREMIOS!$B16))</f>
        <v>96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27700</v>
      </c>
      <c r="D10" s="30">
        <f>IF(Vendedor7!$E$8="",0,Vendedor7!$E$8)</f>
        <v>0</v>
      </c>
      <c r="E10" s="181">
        <f>IF(Vendedor7!$C$12="",0,Vendedor7!$C$12)</f>
        <v>11750</v>
      </c>
      <c r="F10" s="30">
        <f>IF(Vendedor7!$E$12="",0,Vendedor7!$E$12)</f>
        <v>0</v>
      </c>
      <c r="G10" s="181">
        <f>IF(Vendedor7!$C$16="",0,Vendedor7!$C$16)</f>
        <v>19350</v>
      </c>
      <c r="H10" s="30">
        <f>IF(Vendedor7!$E$16="",0,Vendedor7!$E$16)</f>
        <v>300</v>
      </c>
      <c r="J10" s="42">
        <f t="shared" si="1"/>
        <v>58800</v>
      </c>
      <c r="K10" s="41">
        <f>J10*Vendedor7!J$16</f>
        <v>5880</v>
      </c>
      <c r="L10" s="42">
        <f t="shared" si="2"/>
        <v>0</v>
      </c>
      <c r="M10" s="42">
        <f t="shared" si="3"/>
        <v>300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52920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2400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500</v>
      </c>
      <c r="H12" s="30">
        <f>IF(Vendedor9!$E$16="",0,Vendedor9!$E$16)</f>
        <v>0</v>
      </c>
      <c r="J12" s="42">
        <f t="shared" si="1"/>
        <v>2900</v>
      </c>
      <c r="K12" s="41">
        <f>J12*Vendedor9!J$13</f>
        <v>290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2610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21200</v>
      </c>
      <c r="D17" s="30">
        <f>IF(Vendedor14!$E$8="",0,Vendedor14!$E$8)</f>
        <v>300</v>
      </c>
      <c r="E17" s="181">
        <f>IF(Vendedor14!$C$12="",0,Vendedor14!$C$12)</f>
        <v>24400</v>
      </c>
      <c r="F17" s="30">
        <f>IF(Vendedor14!$E$12="",0,Vendedor14!$E$12)</f>
        <v>100</v>
      </c>
      <c r="G17" s="181">
        <f>IF(Vendedor14!$C$16="",0,Vendedor14!$C$16)</f>
        <v>28300</v>
      </c>
      <c r="H17" s="30">
        <f>IF(Vendedor14!$E$16="",0,Vendedor14!$E$16)</f>
        <v>0</v>
      </c>
      <c r="J17" s="42">
        <f t="shared" si="1"/>
        <v>73900</v>
      </c>
      <c r="K17" s="41">
        <f>J17*Vendedor14!J$17</f>
        <v>7390</v>
      </c>
      <c r="L17" s="42">
        <f t="shared" si="2"/>
        <v>300</v>
      </c>
      <c r="M17" s="42">
        <f t="shared" si="3"/>
        <v>400</v>
      </c>
      <c r="N17" s="42">
        <f t="shared" si="0"/>
        <v>66000</v>
      </c>
      <c r="O17" s="42">
        <f>Vendedor14!$F$8+Vendedor14!$F$12+Vendedor14!$F$16</f>
        <v>60000</v>
      </c>
      <c r="Q17" s="42">
        <f t="shared" si="4"/>
        <v>6510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17250</v>
      </c>
      <c r="D18" s="30">
        <f>IF(Vendedor15!$E$8="",0,Vendedor15!$E$8)</f>
        <v>100</v>
      </c>
      <c r="E18" s="181">
        <f>IF(Vendedor15!$C$12="",0,Vendedor15!$C$12)</f>
        <v>13100</v>
      </c>
      <c r="F18" s="30">
        <f>IF(Vendedor15!$E$12="",0,Vendedor15!$E$12)</f>
        <v>0</v>
      </c>
      <c r="G18" s="181">
        <f>IF(Vendedor15!$C$16="",0,Vendedor15!$C$16)</f>
        <v>12300</v>
      </c>
      <c r="H18" s="30">
        <f>IF(Vendedor15!$E$16="",0,Vendedor15!$E$16)</f>
        <v>0</v>
      </c>
      <c r="J18" s="42">
        <f t="shared" ref="J18" si="5">+C18+E18+G18</f>
        <v>42650</v>
      </c>
      <c r="K18" s="41">
        <f>J18*Vendedor15!J$17</f>
        <v>4265</v>
      </c>
      <c r="L18" s="42">
        <f t="shared" si="2"/>
        <v>100</v>
      </c>
      <c r="M18" s="42">
        <f t="shared" si="3"/>
        <v>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18385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68550</v>
      </c>
      <c r="D33" s="44">
        <f>IF(PREMIOS!E8&lt;&gt;0,SUM(D4:D32),0)</f>
        <v>400</v>
      </c>
      <c r="E33" s="43">
        <f>SUM(E4:E32)</f>
        <v>49250</v>
      </c>
      <c r="F33" s="44">
        <f>IF(PREMIOS!E12&lt;&gt;0,SUM(F4:F32),0)</f>
        <v>0</v>
      </c>
      <c r="G33" s="43">
        <f>SUM(G4:G32)</f>
        <v>60450</v>
      </c>
      <c r="H33" s="44">
        <f>IF(PREMIOS!E16&lt;&gt;0,SUM(H4:H32),0)</f>
        <v>0</v>
      </c>
      <c r="J33" s="45">
        <f>SUM(J4:J32)</f>
        <v>178250</v>
      </c>
      <c r="K33" s="45">
        <f>SUM(K7:K32)</f>
        <v>17825</v>
      </c>
      <c r="L33" s="96">
        <f>SUM(L7:L32)</f>
        <v>400</v>
      </c>
      <c r="M33" s="96">
        <f>SUM(M7:M32)</f>
        <v>800</v>
      </c>
      <c r="N33" s="96">
        <f>SUM(N4:N27)</f>
        <v>88000</v>
      </c>
      <c r="O33" s="96">
        <f>SUM(O4:O27)</f>
        <v>80000</v>
      </c>
      <c r="Q33" s="80">
        <f>SUM(Q4:Q32)</f>
        <v>80425</v>
      </c>
    </row>
    <row r="34" spans="3:17" x14ac:dyDescent="0.35">
      <c r="D34" s="119">
        <f>IF(PREMIOS!$D8=PREMIOS!$J$10,D33*$G$38,IF(PREMIOS!$D8=PREMIOS!$J$11,D33*$F$38,IF(PREMIOS!$D8=PREMIOS!$J$12,0,"")))</f>
        <v>88000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178250</v>
      </c>
      <c r="E37" s="43">
        <f>+D37-J4-J5-J6</f>
        <v>178250</v>
      </c>
      <c r="F37" s="276"/>
      <c r="G37" s="276"/>
    </row>
    <row r="38" spans="3:17" ht="15" thickBot="1" x14ac:dyDescent="0.4">
      <c r="C38" s="47" t="s">
        <v>33</v>
      </c>
      <c r="D38" s="30">
        <f>D37*10%</f>
        <v>17825</v>
      </c>
      <c r="E38" s="43">
        <f>+D38-K4-K5-K6</f>
        <v>17825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88000</v>
      </c>
    </row>
    <row r="40" spans="3:17" ht="15" thickBot="1" x14ac:dyDescent="0.4">
      <c r="C40" s="49" t="s">
        <v>4</v>
      </c>
      <c r="D40" s="81">
        <f>+D37-D38-D39</f>
        <v>72425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72425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00</v>
      </c>
      <c r="D2" s="269"/>
      <c r="E2" s="268">
        <f>DigitaPRIMERA!E2</f>
        <v>17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7800</v>
      </c>
      <c r="D4" s="79">
        <f>IF(Vendedor1!$E$19="",0,Vendedor1!$E$19)</f>
        <v>0</v>
      </c>
      <c r="E4" s="190">
        <f>IF(Vendedor1!$C$20="",0,Vendedor1!$C$20)</f>
        <v>1600</v>
      </c>
      <c r="F4" s="79">
        <f>IF(Vendedor1!$E$20="",0,Vendedor1!$E$20)</f>
        <v>0</v>
      </c>
      <c r="H4" s="42">
        <f>+C4+E4</f>
        <v>9400</v>
      </c>
      <c r="I4" s="41">
        <f>MROUND(H4*Vendedor1!J$9,50)</f>
        <v>1200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8200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3750</v>
      </c>
      <c r="D5" s="30">
        <f>IF(Vendedor2!$E$19="",0,Vendedor2!$E$19)</f>
        <v>0</v>
      </c>
      <c r="E5" s="181">
        <f>IF(Vendedor2!$C$20="",0,Vendedor2!$C$20)</f>
        <v>2200</v>
      </c>
      <c r="F5" s="30">
        <f>IF(Vendedor2!$E$20="",0,Vendedor2!$E$20)</f>
        <v>0</v>
      </c>
      <c r="H5" s="42">
        <f t="shared" ref="H5:H31" si="1">+C5+E5</f>
        <v>5950</v>
      </c>
      <c r="I5" s="41">
        <f>MROUND(H5*Vendedor2!J$9,50)</f>
        <v>750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5200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26300</v>
      </c>
      <c r="D8" s="30">
        <f>IF(Vendedor5!$E$19="",0,Vendedor5!$E$19)</f>
        <v>300</v>
      </c>
      <c r="E8" s="181">
        <f>IF(Vendedor5!$C$20="",0,Vendedor5!$C$20)</f>
        <v>5350</v>
      </c>
      <c r="F8" s="30">
        <f>IF(Vendedor5!$E$20="",0,Vendedor5!$E$20)</f>
        <v>0</v>
      </c>
      <c r="H8" s="134">
        <f t="shared" si="1"/>
        <v>31650</v>
      </c>
      <c r="I8" s="149">
        <f>MROUND(H8*Vendedor5!J$11,50)</f>
        <v>3800</v>
      </c>
      <c r="J8" s="134">
        <f t="shared" si="2"/>
        <v>300</v>
      </c>
      <c r="K8" s="134">
        <f t="shared" si="3"/>
        <v>25500</v>
      </c>
      <c r="L8" s="134">
        <f>Vendedor5!$F$19+Vendedor5!$F$20</f>
        <v>24000</v>
      </c>
      <c r="M8" s="156"/>
      <c r="N8" s="134">
        <f t="shared" si="0"/>
        <v>3850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31300</v>
      </c>
      <c r="D10" s="30">
        <f>IF(Vendedor7!$E$19="",0,Vendedor7!$E$19)</f>
        <v>250</v>
      </c>
      <c r="E10" s="181">
        <f>IF(Vendedor7!$C$20="",0,Vendedor7!$C$20)</f>
        <v>3500</v>
      </c>
      <c r="F10" s="30">
        <f>IF(Vendedor7!$E$20="",0,Vendedor7!$E$20)</f>
        <v>0</v>
      </c>
      <c r="H10" s="42">
        <f t="shared" si="1"/>
        <v>34800</v>
      </c>
      <c r="I10" s="41">
        <f>MROUND(H10*Vendedor7!J$14,50)</f>
        <v>4200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9350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77550</v>
      </c>
      <c r="D12" s="30">
        <f>IF(Vendedor9!$E$19="",0,Vendedor9!$E$19)</f>
        <v>400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77550</v>
      </c>
      <c r="I12" s="149">
        <f>MROUND(H12*Vendedor9!J$11,50)</f>
        <v>9300</v>
      </c>
      <c r="J12" s="134">
        <f t="shared" si="2"/>
        <v>400</v>
      </c>
      <c r="K12" s="134">
        <f t="shared" si="3"/>
        <v>34000</v>
      </c>
      <c r="L12" s="134">
        <f>Vendedor9!$F$19+Vendedor9!$F$20</f>
        <v>34000</v>
      </c>
      <c r="M12" s="156"/>
      <c r="N12" s="134">
        <f t="shared" si="0"/>
        <v>34250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7400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7400</v>
      </c>
      <c r="I16" s="149">
        <f>MROUND(H16*Vendedor13!J$11,50)</f>
        <v>900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6500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72100</v>
      </c>
      <c r="D17" s="30">
        <f>IF(Vendedor14!$E$19="",0,Vendedor14!$E$19)</f>
        <v>1450</v>
      </c>
      <c r="E17" s="181">
        <f>IF(Vendedor14!$C$20="",0,Vendedor14!$C$20)</f>
        <v>63600</v>
      </c>
      <c r="F17" s="30">
        <f>IF(Vendedor14!$E$20="",0,Vendedor14!$E$20)</f>
        <v>100</v>
      </c>
      <c r="H17" s="42">
        <f t="shared" si="1"/>
        <v>135700</v>
      </c>
      <c r="I17" s="41">
        <f>MROUND(H17*Vendedor14!J$15,50)</f>
        <v>16300</v>
      </c>
      <c r="J17" s="42">
        <f t="shared" si="2"/>
        <v>1550</v>
      </c>
      <c r="K17" s="42">
        <f t="shared" si="3"/>
        <v>131750</v>
      </c>
      <c r="L17" s="42">
        <f>Vendedor14!$F$19+Vendedor14!$F$20</f>
        <v>131750</v>
      </c>
      <c r="N17" s="42">
        <f t="shared" si="0"/>
        <v>-12350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25300</v>
      </c>
      <c r="D18" s="30">
        <f>IF(Vendedor15!$E$19="",0,Vendedor15!$E$19)</f>
        <v>400</v>
      </c>
      <c r="E18" s="181">
        <f>IF(Vendedor15!$C$20="",0,Vendedor15!$C$20)</f>
        <v>24900</v>
      </c>
      <c r="F18" s="30">
        <f>IF(Vendedor15!$E$20="",0,Vendedor15!$E$20)</f>
        <v>0</v>
      </c>
      <c r="H18" s="42">
        <f t="shared" si="1"/>
        <v>50200</v>
      </c>
      <c r="I18" s="41">
        <f>MROUND(H18*Vendedor15!J$15,50)</f>
        <v>6000</v>
      </c>
      <c r="J18" s="42">
        <f t="shared" si="2"/>
        <v>400</v>
      </c>
      <c r="K18" s="42">
        <f t="shared" si="3"/>
        <v>34000</v>
      </c>
      <c r="L18" s="42">
        <f>Vendedor15!$F$19+Vendedor15!$F$20</f>
        <v>34000</v>
      </c>
      <c r="N18" s="42">
        <f t="shared" si="0"/>
        <v>10200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251500</v>
      </c>
      <c r="D32" s="44">
        <f>SUM(D4:D31)</f>
        <v>2800</v>
      </c>
      <c r="E32" s="43">
        <f>SUM(E4:E31)</f>
        <v>101150</v>
      </c>
      <c r="F32" s="44">
        <f>SUM(F4:F31)</f>
        <v>100</v>
      </c>
      <c r="H32" s="96">
        <f>SUM(H4:H31)</f>
        <v>352650</v>
      </c>
      <c r="I32" s="45">
        <f>SUM(I7:I31)</f>
        <v>40500</v>
      </c>
      <c r="J32" s="96"/>
      <c r="K32" s="96">
        <f>SUM(K4:K31)</f>
        <v>246500</v>
      </c>
      <c r="L32" s="96">
        <f>SUM(L4:L31)</f>
        <v>245000</v>
      </c>
      <c r="N32" s="80">
        <f>SUM(N4:N31)</f>
        <v>65200</v>
      </c>
    </row>
    <row r="33" spans="3:6" x14ac:dyDescent="0.35">
      <c r="D33" s="100">
        <f>+D32*85</f>
        <v>238000</v>
      </c>
      <c r="F33" s="100">
        <f>+F32*85</f>
        <v>8500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352650</v>
      </c>
      <c r="E36" s="43">
        <f>+D36-H4-H5-H6</f>
        <v>337300</v>
      </c>
    </row>
    <row r="37" spans="3:6" x14ac:dyDescent="0.35">
      <c r="C37" s="47" t="s">
        <v>33</v>
      </c>
      <c r="D37" s="48">
        <f>D36*13%</f>
        <v>45844.5</v>
      </c>
      <c r="E37">
        <f>+D37-I4-I5-I6</f>
        <v>43894.5</v>
      </c>
    </row>
    <row r="38" spans="3:6" ht="15" thickBot="1" x14ac:dyDescent="0.4">
      <c r="C38" s="47" t="s">
        <v>30</v>
      </c>
      <c r="D38" s="30">
        <f>SUM(K4:K27)</f>
        <v>246500</v>
      </c>
    </row>
    <row r="39" spans="3:6" ht="15" thickBot="1" x14ac:dyDescent="0.4">
      <c r="C39" s="49" t="s">
        <v>4</v>
      </c>
      <c r="D39" s="81">
        <f>+D36-D37-D38</f>
        <v>60305.5</v>
      </c>
      <c r="F39" s="99">
        <f>+N32-D39</f>
        <v>4894.5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60305.5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60</v>
      </c>
      <c r="D2" s="269"/>
      <c r="E2" s="268">
        <f>DigitaHONDURAS!E2</f>
        <v>91</v>
      </c>
      <c r="F2" s="269"/>
      <c r="G2" s="268">
        <f>DigitaHONDURAS!G2</f>
        <v>11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10800</v>
      </c>
      <c r="D10" s="30">
        <f>IF(Vendedor7!$E$21="",0,Vendedor7!$E$21)</f>
        <v>400</v>
      </c>
      <c r="E10" s="181">
        <f>IF(Vendedor7!$C$22="",0,Vendedor7!$C$22)</f>
        <v>3900</v>
      </c>
      <c r="F10" s="30">
        <f>IF(Vendedor7!$E$22="",0,Vendedor7!$E$22)</f>
        <v>0</v>
      </c>
      <c r="G10" s="181">
        <f>IF(Vendedor7!$C$23="",0,Vendedor7!$C$23)</f>
        <v>4800</v>
      </c>
      <c r="H10" s="30">
        <f>IF(Vendedor7!$E$23="",0,Vendedor7!$E$23)</f>
        <v>0</v>
      </c>
      <c r="J10" s="42">
        <f t="shared" si="0"/>
        <v>19500</v>
      </c>
      <c r="K10" s="41">
        <f>MROUND(J10*Vendedor7!J$14,50)</f>
        <v>2350</v>
      </c>
      <c r="L10" s="42">
        <f t="shared" si="1"/>
        <v>400</v>
      </c>
      <c r="M10" s="42">
        <f t="shared" si="3"/>
        <v>34000</v>
      </c>
      <c r="N10" s="42">
        <f>Vendedor7!$F$21+Vendedor7!$F$22+Vendedor7!$F$23</f>
        <v>34000</v>
      </c>
      <c r="P10" s="42">
        <f t="shared" si="2"/>
        <v>-16850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79300</v>
      </c>
      <c r="D17" s="30">
        <f>IF(Vendedor14!$E$21="",0,Vendedor14!$E$21)</f>
        <v>2800</v>
      </c>
      <c r="E17" s="181">
        <f>IF(Vendedor14!$C$22="",0,Vendedor14!$C$22)</f>
        <v>6700</v>
      </c>
      <c r="F17" s="30">
        <f>IF(Vendedor14!$E$22="",0,Vendedor14!$E$22)</f>
        <v>0</v>
      </c>
      <c r="G17" s="181">
        <f>IF(Vendedor14!$C$23="",0,Vendedor14!$C$23)</f>
        <v>41550</v>
      </c>
      <c r="H17" s="30">
        <f>IF(Vendedor14!$E$23="",0,Vendedor14!$E$23)</f>
        <v>800</v>
      </c>
      <c r="J17" s="42">
        <f t="shared" si="0"/>
        <v>127550</v>
      </c>
      <c r="K17" s="41">
        <f>MROUND(J17*Vendedor14!J$15,50)</f>
        <v>15300</v>
      </c>
      <c r="L17" s="42">
        <f t="shared" si="1"/>
        <v>3600</v>
      </c>
      <c r="M17" s="42">
        <f t="shared" si="3"/>
        <v>306000</v>
      </c>
      <c r="N17" s="42">
        <f>Vendedor14!$F$21+Vendedor14!$F$22+Vendedor14!$F$23</f>
        <v>306000</v>
      </c>
      <c r="P17" s="42">
        <f t="shared" si="2"/>
        <v>-193750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8400</v>
      </c>
      <c r="D18" s="30">
        <f>IF(Vendedor15!$E$21="",0,Vendedor15!$E$21)</f>
        <v>1000</v>
      </c>
      <c r="E18" s="181">
        <f>IF(Vendedor15!$C$22="",0,Vendedor15!$C$22)</f>
        <v>5000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13400</v>
      </c>
      <c r="K18" s="41">
        <f>MROUND(J18*Vendedor15!J$15,50)</f>
        <v>1600</v>
      </c>
      <c r="L18" s="42">
        <f t="shared" si="1"/>
        <v>1000</v>
      </c>
      <c r="M18" s="42">
        <f t="shared" si="3"/>
        <v>85000</v>
      </c>
      <c r="N18" s="42">
        <f>Vendedor15!$F$21+Vendedor15!$F$22+Vendedor15!$F$23</f>
        <v>85000</v>
      </c>
      <c r="P18" s="42">
        <f t="shared" si="2"/>
        <v>-73200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98500</v>
      </c>
      <c r="D32" s="44">
        <f t="shared" si="8"/>
        <v>4200</v>
      </c>
      <c r="E32" s="43">
        <f t="shared" si="8"/>
        <v>15600</v>
      </c>
      <c r="F32" s="44">
        <f t="shared" si="8"/>
        <v>0</v>
      </c>
      <c r="G32" s="43">
        <f t="shared" si="8"/>
        <v>46350</v>
      </c>
      <c r="H32" s="44">
        <f t="shared" si="8"/>
        <v>800</v>
      </c>
      <c r="J32" s="96">
        <f>SUM(J4:J31)</f>
        <v>160450</v>
      </c>
      <c r="K32" s="45">
        <f>SUM(K7:K31)</f>
        <v>19250</v>
      </c>
      <c r="L32" s="96"/>
      <c r="M32" s="96">
        <f>SUM(M4:M31)</f>
        <v>425000</v>
      </c>
      <c r="N32" s="96">
        <f>SUM(N4:N31)</f>
        <v>425000</v>
      </c>
      <c r="P32" s="80">
        <f>SUM(P4:P31)</f>
        <v>-283800</v>
      </c>
    </row>
    <row r="33" spans="3:8" x14ac:dyDescent="0.35">
      <c r="D33" s="100">
        <f>+D32*85</f>
        <v>357000</v>
      </c>
      <c r="F33" s="100">
        <f>+F32*85</f>
        <v>0</v>
      </c>
      <c r="H33" s="100">
        <f>+H32*85</f>
        <v>68000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160450</v>
      </c>
      <c r="E36" s="43">
        <f>+D36-J4-J5-J6</f>
        <v>160450</v>
      </c>
    </row>
    <row r="37" spans="3:8" x14ac:dyDescent="0.35">
      <c r="C37" s="47" t="s">
        <v>33</v>
      </c>
      <c r="D37" s="48">
        <f>D36*13%</f>
        <v>20858.5</v>
      </c>
      <c r="E37">
        <f>+D37-K4-K5-K6</f>
        <v>20858.5</v>
      </c>
    </row>
    <row r="38" spans="3:8" ht="15" thickBot="1" x14ac:dyDescent="0.4">
      <c r="C38" s="47" t="s">
        <v>30</v>
      </c>
      <c r="D38" s="30">
        <f>SUM(M4:M27)</f>
        <v>425000</v>
      </c>
      <c r="G38" s="101"/>
    </row>
    <row r="39" spans="3:8" ht="15" thickBot="1" x14ac:dyDescent="0.4">
      <c r="C39" s="49" t="s">
        <v>4</v>
      </c>
      <c r="D39" s="81">
        <f>+D36-D37-D38</f>
        <v>-285408.5</v>
      </c>
      <c r="F39" s="99">
        <f>+P32-D39</f>
        <v>1608.5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-285408.5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40</v>
      </c>
      <c r="D2" s="269"/>
      <c r="E2" s="268">
        <f>DigitaDOMINICANA!E2</f>
        <v>71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59500</v>
      </c>
      <c r="D10" s="30">
        <f>IF(Vendedor7!$E$24="",0,Vendedor7!$E$24)</f>
        <v>0</v>
      </c>
      <c r="E10" s="181">
        <f>IF(Vendedor7!$C$25="",0,Vendedor7!$C$25)</f>
        <v>69500</v>
      </c>
      <c r="F10" s="30">
        <f>IF(Vendedor7!$E$25="",0,Vendedor7!$E$25)</f>
        <v>0</v>
      </c>
      <c r="H10" s="42">
        <f t="shared" si="1"/>
        <v>129000</v>
      </c>
      <c r="I10" s="41">
        <f>MROUND(H10*Vendedor7!J$14,50)</f>
        <v>15500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113500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59500</v>
      </c>
      <c r="D32" s="44">
        <f>SUM(D4:D31)</f>
        <v>0</v>
      </c>
      <c r="E32" s="43">
        <f>SUM(E4:E31)</f>
        <v>69500</v>
      </c>
      <c r="F32" s="44">
        <f>SUM(F4:F31)</f>
        <v>0</v>
      </c>
      <c r="H32" s="96">
        <f>SUM(H4:H31)</f>
        <v>129000</v>
      </c>
      <c r="I32" s="45">
        <f>SUM(I7:I31)</f>
        <v>15500</v>
      </c>
      <c r="J32" s="96"/>
      <c r="K32" s="96">
        <f>SUM(K4:K31)</f>
        <v>0</v>
      </c>
      <c r="L32" s="96">
        <f>SUM(L4:L31)</f>
        <v>0</v>
      </c>
      <c r="N32" s="80">
        <f>SUM(N4:N31)</f>
        <v>113500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129000</v>
      </c>
      <c r="E36" s="43">
        <f>+D36-H4-H5-H6</f>
        <v>129000</v>
      </c>
    </row>
    <row r="37" spans="3:6" x14ac:dyDescent="0.35">
      <c r="C37" s="47" t="s">
        <v>33</v>
      </c>
      <c r="D37" s="48">
        <f>D36*13%</f>
        <v>16770</v>
      </c>
      <c r="E37">
        <f>+D37-I4-I5-I6</f>
        <v>16770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112230</v>
      </c>
      <c r="F39" s="99">
        <f>+N32-D39</f>
        <v>1270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112230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06-01-2026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1363400</v>
      </c>
      <c r="C4" s="158">
        <f>HojaNICA!M32</f>
        <v>163600</v>
      </c>
      <c r="D4" s="151">
        <f>HojaNICA!E37</f>
        <v>177202</v>
      </c>
      <c r="E4" s="151">
        <f>HojaNICA!P32</f>
        <v>1042250</v>
      </c>
      <c r="F4" s="151">
        <f>HojaNICA!O32</f>
        <v>1045500</v>
      </c>
      <c r="G4" s="152">
        <f t="shared" ref="G4:G10" si="0">+D4-C4+F4-E4</f>
        <v>16852</v>
      </c>
      <c r="H4" s="21"/>
      <c r="I4" s="183"/>
    </row>
    <row r="5" spans="1:9" x14ac:dyDescent="0.35">
      <c r="A5" s="28" t="s">
        <v>19</v>
      </c>
      <c r="B5" s="157">
        <f>HojaTICA!$E$36</f>
        <v>1653950</v>
      </c>
      <c r="C5" s="158">
        <f>HojaTICA!K32</f>
        <v>202300</v>
      </c>
      <c r="D5" s="151">
        <f>HojaTICA!E37</f>
        <v>215000</v>
      </c>
      <c r="E5" s="151">
        <f>HojaTICA!N32</f>
        <v>893500</v>
      </c>
      <c r="F5" s="151">
        <f>HojaTICA!D38</f>
        <v>901000</v>
      </c>
      <c r="G5" s="152">
        <f t="shared" si="0"/>
        <v>20200</v>
      </c>
      <c r="H5" s="21"/>
      <c r="I5" s="183"/>
    </row>
    <row r="6" spans="1:9" x14ac:dyDescent="0.35">
      <c r="A6" s="28" t="s">
        <v>125</v>
      </c>
      <c r="B6" s="157">
        <f>HojaREVENTADO!$E$37</f>
        <v>178250</v>
      </c>
      <c r="C6" s="158">
        <f>HojaREVENTADO!K33</f>
        <v>17825</v>
      </c>
      <c r="D6" s="151">
        <f>HojaREVENTADO!E38</f>
        <v>17825</v>
      </c>
      <c r="E6" s="151">
        <f>HojaREVENTADO!O33</f>
        <v>80000</v>
      </c>
      <c r="F6" s="151">
        <f>HojaREVENTADO!N33</f>
        <v>88000</v>
      </c>
      <c r="G6" s="152">
        <f t="shared" si="0"/>
        <v>8000</v>
      </c>
      <c r="H6" s="21"/>
      <c r="I6" s="183"/>
    </row>
    <row r="7" spans="1:9" x14ac:dyDescent="0.35">
      <c r="A7" s="28" t="s">
        <v>96</v>
      </c>
      <c r="B7" s="157">
        <f>HojaPrimera!$E$36</f>
        <v>337300</v>
      </c>
      <c r="C7" s="158">
        <f>HojaPrimera!I32</f>
        <v>40500</v>
      </c>
      <c r="D7" s="151">
        <f>HojaPrimera!E37</f>
        <v>43894.5</v>
      </c>
      <c r="E7" s="151">
        <f>HojaPrimera!L32</f>
        <v>245000</v>
      </c>
      <c r="F7" s="151">
        <f>HojaPrimera!K32</f>
        <v>246500</v>
      </c>
      <c r="G7" s="152">
        <f t="shared" si="0"/>
        <v>4894.5</v>
      </c>
      <c r="H7" s="21"/>
      <c r="I7" s="21"/>
    </row>
    <row r="8" spans="1:9" x14ac:dyDescent="0.35">
      <c r="A8" s="28" t="s">
        <v>104</v>
      </c>
      <c r="B8" s="157">
        <f>HojaHonduras!$E$36</f>
        <v>160450</v>
      </c>
      <c r="C8" s="158">
        <f>HojaHonduras!K32</f>
        <v>19250</v>
      </c>
      <c r="D8" s="151">
        <f>HojaHonduras!E37</f>
        <v>20858.5</v>
      </c>
      <c r="E8" s="151">
        <f>HojaHonduras!N32</f>
        <v>425000</v>
      </c>
      <c r="F8" s="151">
        <f>HojaHonduras!M32</f>
        <v>425000</v>
      </c>
      <c r="G8" s="152">
        <f t="shared" si="0"/>
        <v>1608.5</v>
      </c>
      <c r="H8" s="21"/>
      <c r="I8" s="21"/>
    </row>
    <row r="9" spans="1:9" x14ac:dyDescent="0.35">
      <c r="A9" s="28" t="s">
        <v>20</v>
      </c>
      <c r="B9" s="157">
        <f>HojaDominicana!$E$36</f>
        <v>129000</v>
      </c>
      <c r="C9" s="158">
        <f>HojaDominicana!I32</f>
        <v>15500</v>
      </c>
      <c r="D9" s="151">
        <f>HojaDominicana!E37</f>
        <v>16770</v>
      </c>
      <c r="E9" s="151">
        <f>HojaDominicana!L32</f>
        <v>0</v>
      </c>
      <c r="F9" s="151">
        <f>HojaDominicana!K32</f>
        <v>0</v>
      </c>
      <c r="G9" s="152">
        <f t="shared" si="0"/>
        <v>1270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3822350</v>
      </c>
      <c r="C11" s="176">
        <f>SUM(C4:C10)</f>
        <v>458975</v>
      </c>
      <c r="D11" s="176">
        <f t="shared" ref="D11:F11" si="1">SUM(D4:D10)</f>
        <v>491550</v>
      </c>
      <c r="E11" s="176">
        <f t="shared" si="1"/>
        <v>2685750</v>
      </c>
      <c r="F11" s="176">
        <f t="shared" si="1"/>
        <v>2706000</v>
      </c>
      <c r="G11" s="177">
        <f>SUM(G4:G10)</f>
        <v>52825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17825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200450</v>
      </c>
      <c r="E16" s="158">
        <f>+Vendedor1!D21</f>
        <v>26058.5</v>
      </c>
      <c r="F16" s="159">
        <f>IF(D16&lt;&gt;0,15000,0)</f>
        <v>15000</v>
      </c>
      <c r="G16" s="152">
        <f>+E16-F16</f>
        <v>11058.5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232950</v>
      </c>
      <c r="E17" s="158">
        <f>+Vendedor2!D21</f>
        <v>30283.5</v>
      </c>
      <c r="F17" s="159">
        <f>IF(D17&lt;&gt;0,15000,0)</f>
        <v>15000</v>
      </c>
      <c r="G17" s="152">
        <f>+E17-F17</f>
        <v>15283.5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433400</v>
      </c>
      <c r="E19" s="160">
        <f>SUM(E16:E18)</f>
        <v>56342</v>
      </c>
      <c r="F19" s="161">
        <f>SUM(F16:F18)</f>
        <v>30000</v>
      </c>
      <c r="G19" s="162">
        <f>SUM(G16:G18)</f>
        <v>26342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44167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06-01-2026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1435400</v>
      </c>
      <c r="C5" s="151">
        <f>HojaNICA!D37</f>
        <v>186602</v>
      </c>
      <c r="D5" s="151">
        <f>HojaNICA!D38</f>
        <v>1045500</v>
      </c>
      <c r="E5" s="151"/>
      <c r="F5" s="152">
        <f>+B5-C5-D5+E5</f>
        <v>203298</v>
      </c>
      <c r="H5" s="251" t="s">
        <v>105</v>
      </c>
      <c r="I5" s="245">
        <f ca="1">TODAY()-1</f>
        <v>46028</v>
      </c>
      <c r="O5" s="120"/>
    </row>
    <row r="6" spans="1:15" ht="15" thickBot="1" x14ac:dyDescent="0.4">
      <c r="A6" s="47" t="s">
        <v>36</v>
      </c>
      <c r="B6" s="151">
        <f>HojaTICA!D36</f>
        <v>2000000</v>
      </c>
      <c r="C6" s="151">
        <f>HojaTICA!D37</f>
        <v>260000</v>
      </c>
      <c r="D6" s="151">
        <f>HojaTICA!D38</f>
        <v>901000</v>
      </c>
      <c r="E6" s="151"/>
      <c r="F6" s="152">
        <f t="shared" ref="F6:F11" si="0">+B6-C6-D6+E6</f>
        <v>839000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178250</v>
      </c>
      <c r="C7" s="151">
        <f>HojaREVENTADO!D38</f>
        <v>17825</v>
      </c>
      <c r="D7" s="151">
        <f>HojaREVENTADO!D39</f>
        <v>88000</v>
      </c>
      <c r="E7" s="151"/>
      <c r="F7" s="152">
        <f t="shared" si="0"/>
        <v>72425</v>
      </c>
    </row>
    <row r="8" spans="1:15" x14ac:dyDescent="0.35">
      <c r="A8" s="47" t="s">
        <v>96</v>
      </c>
      <c r="B8" s="151">
        <f>HojaPrimera!$D36</f>
        <v>352650</v>
      </c>
      <c r="C8" s="151">
        <f>HojaPrimera!$D37</f>
        <v>45844.5</v>
      </c>
      <c r="D8" s="151">
        <f>HojaPrimera!$D38</f>
        <v>246500</v>
      </c>
      <c r="E8" s="151"/>
      <c r="F8" s="152">
        <f t="shared" si="0"/>
        <v>60305.5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160450</v>
      </c>
      <c r="C9" s="151">
        <f>HojaHonduras!$D37</f>
        <v>20858.5</v>
      </c>
      <c r="D9" s="151">
        <f>HojaHonduras!$D38</f>
        <v>425000</v>
      </c>
      <c r="E9" s="151"/>
      <c r="F9" s="152">
        <f t="shared" si="0"/>
        <v>-285408.5</v>
      </c>
      <c r="H9" s="252">
        <f>+K12-K10-H6</f>
        <v>1001850</v>
      </c>
    </row>
    <row r="10" spans="1:15" ht="15" thickBot="1" x14ac:dyDescent="0.4">
      <c r="A10" s="47" t="s">
        <v>20</v>
      </c>
      <c r="B10" s="151">
        <f>HojaDominicana!$D36</f>
        <v>129000</v>
      </c>
      <c r="C10" s="151">
        <f>HojaDominicana!$D37</f>
        <v>16770</v>
      </c>
      <c r="D10" s="151">
        <f>HojaDominicana!$D38</f>
        <v>0</v>
      </c>
      <c r="E10" s="151"/>
      <c r="F10" s="152">
        <f t="shared" si="0"/>
        <v>112230</v>
      </c>
      <c r="H10" s="155"/>
      <c r="J10" t="s">
        <v>148</v>
      </c>
      <c r="K10" s="254">
        <v>5643219.4399999995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6645069.4399999995</v>
      </c>
    </row>
    <row r="12" spans="1:15" ht="16" thickBot="1" x14ac:dyDescent="0.4">
      <c r="A12" s="145" t="s">
        <v>5</v>
      </c>
      <c r="B12" s="153">
        <f>SUM(B5:B11)</f>
        <v>4255750</v>
      </c>
      <c r="C12" s="153">
        <f>SUM(C5:C11)</f>
        <v>547900</v>
      </c>
      <c r="D12" s="153">
        <f>SUM(D5:D11)</f>
        <v>2706000</v>
      </c>
      <c r="E12" s="153"/>
      <c r="F12" s="257">
        <f>SUM(F5:F11)</f>
        <v>1001850</v>
      </c>
      <c r="H12" s="253">
        <f>K12</f>
        <v>6645069.4399999995</v>
      </c>
      <c r="J12" t="s">
        <v>140</v>
      </c>
      <c r="K12" s="256">
        <f>-4057883.58+5044389.14+2393693.6+3264870.28</f>
        <v>6645069.4399999995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151950</v>
      </c>
      <c r="K4" s="233">
        <f t="shared" ref="K4" si="0">D7+D11+D15</f>
        <v>19753.5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85</v>
      </c>
      <c r="C5" s="29">
        <f>IF(DigitaNICA!C4&lt;&gt;"",DigitaNICA!C4,"")</f>
        <v>16950</v>
      </c>
      <c r="D5" s="42">
        <f>IF(C5="",0,C5*J$10)</f>
        <v>2203.5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6746.5</v>
      </c>
      <c r="I5" s="243" t="s">
        <v>37</v>
      </c>
      <c r="J5" s="223">
        <f>SUM(IF(C5="",0,C5),IF(C9="",0,C9),IF(C13="",0,C13),IF(C17="",0,C17))</f>
        <v>39100</v>
      </c>
      <c r="K5" s="227">
        <f t="shared" ref="K5" si="2">D5+D9+D13+D17</f>
        <v>5083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9400</v>
      </c>
      <c r="K6" s="230">
        <f>D19+D20</f>
        <v>1222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IF(DigitaTICA!C4&lt;&gt;"",DigitaTICA!C4,"")</f>
        <v>39900</v>
      </c>
      <c r="D7" s="42">
        <f>IF(C7="",0,C7*J$9)</f>
        <v>5187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34713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IF(DigitaNICA!E4&lt;&gt;"",DigitaNICA!E4,"")</f>
        <v>14950</v>
      </c>
      <c r="D9" s="42">
        <f>IF(C9="",0,C9*J$10)</f>
        <v>1943.5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13006.5</v>
      </c>
      <c r="I9" s="77" t="s">
        <v>36</v>
      </c>
      <c r="J9" s="78">
        <v>0.13</v>
      </c>
      <c r="K9" s="79">
        <f>MROUND(D7+D11+D15,50)</f>
        <v>19750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5100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IF(DigitaTICA!E4&lt;&gt;"",DigitaTICA!E4,"")</f>
        <v>21950</v>
      </c>
      <c r="D11" s="42">
        <f>IF(C11="",0,C11*J$9)</f>
        <v>2853.5</v>
      </c>
      <c r="E11" s="29">
        <f>IF(DigitaTICA!F4&lt;&gt;"",DigitaTICA!F4,"")</f>
        <v>300</v>
      </c>
      <c r="F11" s="42">
        <f>IF(E11="",0,E11*PREMIOS!F11)</f>
        <v>25500</v>
      </c>
      <c r="G11" s="30">
        <f t="shared" si="1"/>
        <v>-6403.5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3">
        <f>IF(DigitaNICA!G2&lt;&gt;"",DigitaNICA!G2,"")</f>
        <v>45</v>
      </c>
      <c r="C13" s="29">
        <f>IF(DigitaNICA!G4&lt;&gt;"",DigitaNICA!G4,"")</f>
        <v>1600</v>
      </c>
      <c r="D13" s="42">
        <f>IF(C13="",0,C13*J$10)</f>
        <v>208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1392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IF(DigitaTICA!G4&lt;&gt;"",DigitaTICA!G4,"")</f>
        <v>90100</v>
      </c>
      <c r="D15" s="42">
        <f>IF(C15="",0,C15*J$9)</f>
        <v>11713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78387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>
        <f>IF(DigitaNICA!I4&lt;&gt;"",DigitaNICA!I4,"")</f>
        <v>5600</v>
      </c>
      <c r="D17" s="42">
        <f>IF(C17="",0,C17*J$10)</f>
        <v>728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4872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IF(DigitaPRIMERA!C4&lt;&gt;"",DigitaPRIMERA!C4,"")</f>
        <v>7800</v>
      </c>
      <c r="D19" s="42">
        <f>IF(C19="",0,C19*J$12)</f>
        <v>1014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6786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>
        <f>IF(DigitaPRIMERA!E4&lt;&gt;"",DigitaPRIMERA!E4,"")</f>
        <v>1600</v>
      </c>
      <c r="D20" s="42">
        <f>IF(C20="",0,C20*J$12)</f>
        <v>208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1392</v>
      </c>
    </row>
    <row r="21" spans="1:7" ht="15" thickBot="1" x14ac:dyDescent="0.4">
      <c r="A21" s="122" t="s">
        <v>5</v>
      </c>
      <c r="B21" s="129"/>
      <c r="C21" s="123">
        <f>SUM(C5:C20)</f>
        <v>200450</v>
      </c>
      <c r="D21" s="123">
        <f t="shared" ref="D21:G21" si="6">SUM(D5:D20)</f>
        <v>26058.5</v>
      </c>
      <c r="E21" s="123">
        <f t="shared" si="6"/>
        <v>400</v>
      </c>
      <c r="F21" s="123">
        <f t="shared" si="6"/>
        <v>33500</v>
      </c>
      <c r="G21" s="124">
        <f t="shared" si="6"/>
        <v>140891.5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194100</v>
      </c>
      <c r="K4" s="233">
        <f t="shared" ref="K4" si="0">D7+D11+D15</f>
        <v>25233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85</v>
      </c>
      <c r="C5" s="29">
        <f>IF(DigitaNICA!C5&lt;&gt;"",DigitaNICA!C5,"")</f>
        <v>23350</v>
      </c>
      <c r="D5" s="42">
        <f>IF(C5="",0,C5*J$10)</f>
        <v>3035.5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20314.5</v>
      </c>
      <c r="I5" s="243" t="s">
        <v>37</v>
      </c>
      <c r="J5" s="223">
        <f>SUM(IF(C5="",0,C5),IF(C9="",0,C9),IF(C13="",0,C13),IF(C17="",0,C17))</f>
        <v>32900</v>
      </c>
      <c r="K5" s="227">
        <f t="shared" ref="K5" si="2">D5+D9+D13+D17</f>
        <v>4277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5950</v>
      </c>
      <c r="K6" s="230">
        <f>D19+D20</f>
        <v>773.5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IF(DigitaTICA!C5&lt;&gt;"",DigitaTICA!C5,"")</f>
        <v>58700</v>
      </c>
      <c r="D7" s="42">
        <f>IF(C7="",0,C7*J$9)</f>
        <v>7631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29819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IF(DigitaNICA!E5&lt;&gt;"",DigitaNICA!E5,"")</f>
        <v>5150</v>
      </c>
      <c r="D9" s="42">
        <f>IF(C9="",0,C9*J$10)</f>
        <v>669.5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4480.5</v>
      </c>
      <c r="I9" s="60" t="s">
        <v>36</v>
      </c>
      <c r="J9" s="61">
        <v>0.13</v>
      </c>
      <c r="K9" s="62">
        <f>MROUND(D7+D11+D15,50)</f>
        <v>25250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4300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IF(DigitaTICA!E5&lt;&gt;"",DigitaTICA!E5,"")</f>
        <v>39550</v>
      </c>
      <c r="D11" s="42">
        <f>IF(C11="",0,C11*J$9)</f>
        <v>5141.5</v>
      </c>
      <c r="E11" s="29">
        <f>IF(DigitaTICA!F5&lt;&gt;"",DigitaTICA!F5,"")</f>
        <v>750</v>
      </c>
      <c r="F11" s="42">
        <f>IF(E11="",0,E11*PREMIOS!F11)</f>
        <v>63750</v>
      </c>
      <c r="G11" s="30">
        <f t="shared" si="1"/>
        <v>-29341.5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45</v>
      </c>
      <c r="C13" s="29">
        <f>IF(DigitaNICA!G5&lt;&gt;"",DigitaNICA!G5,"")</f>
        <v>1400</v>
      </c>
      <c r="D13" s="42">
        <f>IF(C13="",0,C13*J$10)</f>
        <v>182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1218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IF(DigitaTICA!G5&lt;&gt;"",DigitaTICA!G5,"")</f>
        <v>95850</v>
      </c>
      <c r="D15" s="42">
        <f>IF(C15="",0,C15*J$9)</f>
        <v>12460.5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83389.5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>
        <f>IF(DigitaNICA!I5&lt;&gt;"",DigitaNICA!I5,"")</f>
        <v>3000</v>
      </c>
      <c r="D17" s="42">
        <f>IF(C17="",0,C17*J$10)</f>
        <v>390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2610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IF(DigitaPRIMERA!C5&lt;&gt;"",DigitaPRIMERA!C5,"")</f>
        <v>3750</v>
      </c>
      <c r="D19" s="42">
        <f>IF(C19="",0,C19*J$12)</f>
        <v>487.5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3262.5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>
        <f>IF(DigitaPRIMERA!E5&lt;&gt;"",DigitaPRIMERA!E5,"")</f>
        <v>2200</v>
      </c>
      <c r="D20" s="42">
        <f>IF(C20="",0,C20*J$12)</f>
        <v>286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1914</v>
      </c>
    </row>
    <row r="21" spans="1:7" ht="15" thickBot="1" x14ac:dyDescent="0.4">
      <c r="A21" s="67" t="s">
        <v>5</v>
      </c>
      <c r="B21" s="128"/>
      <c r="C21" s="68">
        <f>SUM(C5:C20)</f>
        <v>232950</v>
      </c>
      <c r="D21" s="68">
        <f t="shared" ref="D21:G21" si="4">SUM(D5:D20)</f>
        <v>30283.5</v>
      </c>
      <c r="E21" s="68">
        <f t="shared" si="4"/>
        <v>1000</v>
      </c>
      <c r="F21" s="68">
        <f t="shared" si="4"/>
        <v>85000</v>
      </c>
      <c r="G21" s="89">
        <f t="shared" si="4"/>
        <v>117666.5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209200</v>
      </c>
      <c r="K4" s="233">
        <f t="shared" ref="K4" si="0">D7+D11+D15</f>
        <v>25104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85</v>
      </c>
      <c r="C5" s="29">
        <f>IF(DigitaNICA!C8&lt;&gt;"",DigitaNICA!C8,"")</f>
        <v>94250</v>
      </c>
      <c r="D5" s="42">
        <f>IF(C5="",0,C5*J$12)</f>
        <v>11310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62940</v>
      </c>
      <c r="I5" s="243" t="s">
        <v>37</v>
      </c>
      <c r="J5" s="223">
        <f>SUM(IF(C5="",0,C5),IF(C9="",0,C9),IF(C13="",0,C13),IF(C17="",0,C17))</f>
        <v>176050</v>
      </c>
      <c r="K5" s="227">
        <f t="shared" ref="K5" si="2">D5+D9+D13+D17</f>
        <v>21126</v>
      </c>
      <c r="L5" s="224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IF(DigitaTICA!C8&lt;&gt;"",DigitaTICA!C8,"")</f>
        <v>94100</v>
      </c>
      <c r="D7" s="42">
        <f>IF(C7="",0,C7*J$11)</f>
        <v>11292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82808</v>
      </c>
      <c r="I7" s="244" t="s">
        <v>96</v>
      </c>
      <c r="J7" s="226">
        <f>SUM(IF(C19="",0,C19),IF(C20="",0,C20))</f>
        <v>31650</v>
      </c>
      <c r="K7" s="230">
        <f>+D19+D20</f>
        <v>3798</v>
      </c>
      <c r="L7" s="231">
        <f>+F19+F20</f>
        <v>24000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>
        <f>IF(DigitaNICA!E8&lt;&gt;"",DigitaNICA!E8,"")</f>
        <v>68150</v>
      </c>
      <c r="D9" s="42">
        <f>IF(C9="",0,C9*J$12)</f>
        <v>8178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59972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IF(DigitaTICA!E8&lt;&gt;"",DigitaTICA!E8,"")</f>
        <v>62350</v>
      </c>
      <c r="D11" s="42">
        <f>IF(C11="",0,C11*J$11)</f>
        <v>7482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54868</v>
      </c>
      <c r="I11" s="60" t="s">
        <v>36</v>
      </c>
      <c r="J11" s="61">
        <v>0.12</v>
      </c>
      <c r="K11" s="62">
        <f>MROUND(D7+D11+D15,50)</f>
        <v>25100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21150</v>
      </c>
    </row>
    <row r="13" spans="1:12" x14ac:dyDescent="0.35">
      <c r="A13" s="28" t="s">
        <v>50</v>
      </c>
      <c r="B13" s="133">
        <f>IF(DigitaNICA!G2&lt;&gt;"",DigitaNICA!G2,"")</f>
        <v>45</v>
      </c>
      <c r="C13" s="29">
        <f>IF(DigitaNICA!G8&lt;&gt;"",DigitaNICA!G8,"")</f>
        <v>1250</v>
      </c>
      <c r="D13" s="42">
        <f>IF(C13="",0,C13*J$12)</f>
        <v>150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1100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3800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IF(DigitaTICA!G8&lt;&gt;"",DigitaTICA!G8,"")</f>
        <v>52750</v>
      </c>
      <c r="D15" s="42">
        <f>IF(C15="",0,C15*J$11)</f>
        <v>6330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46420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>
        <f>IF(DigitaNICA!I8&lt;&gt;"",DigitaNICA!I8,"")</f>
        <v>12400</v>
      </c>
      <c r="D17" s="42">
        <f>IF(C17="",0,C17*J$12)</f>
        <v>1488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10912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IF(DigitaPRIMERA!C8&lt;&gt;"",DigitaPRIMERA!C8,"")</f>
        <v>26300</v>
      </c>
      <c r="D19" s="42">
        <f>IF(C19="",0,C19*J$14)</f>
        <v>3156</v>
      </c>
      <c r="E19" s="29">
        <f>IF(DigitaPRIMERA!D8&lt;&gt;"",DigitaPRIMERA!D8,"")</f>
        <v>300</v>
      </c>
      <c r="F19" s="42">
        <f>IF(E19="",0,E19*PREMIOS!E19)</f>
        <v>24000</v>
      </c>
      <c r="G19" s="30">
        <f t="shared" si="4"/>
        <v>-856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>
        <f>IF(DigitaPRIMERA!E8&lt;&gt;"",DigitaPRIMERA!E8,"")</f>
        <v>5350</v>
      </c>
      <c r="D20" s="42">
        <f>IF(C20="",0,C20*J$14)</f>
        <v>642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4708</v>
      </c>
    </row>
    <row r="21" spans="1:7" ht="15" thickBot="1" x14ac:dyDescent="0.4">
      <c r="A21" s="122" t="s">
        <v>5</v>
      </c>
      <c r="B21" s="129"/>
      <c r="C21" s="123">
        <f>SUM(C5:C20)</f>
        <v>416900</v>
      </c>
      <c r="D21" s="123">
        <f t="shared" ref="D21:G21" si="5">SUM(D5:D20)</f>
        <v>50028</v>
      </c>
      <c r="E21" s="123">
        <f t="shared" si="5"/>
        <v>550</v>
      </c>
      <c r="F21" s="123">
        <f t="shared" si="5"/>
        <v>44000</v>
      </c>
      <c r="G21" s="124">
        <f t="shared" si="5"/>
        <v>322872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85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361650</v>
      </c>
      <c r="K4" s="233">
        <f t="shared" ref="K4" si="0">D7+D11+D15</f>
        <v>43398</v>
      </c>
      <c r="L4" s="222">
        <f>F7+F11+F15</f>
        <v>199750</v>
      </c>
    </row>
    <row r="5" spans="1:12" x14ac:dyDescent="0.35">
      <c r="A5" s="28" t="s">
        <v>43</v>
      </c>
      <c r="B5" s="133">
        <f>IF(DigitaNICA!C2&lt;&gt;"",DigitaNICA!C2,"")</f>
        <v>85</v>
      </c>
      <c r="C5" s="29">
        <f>IF(DigitaNICA!C10&lt;&gt;"",DigitaNICA!C10,"")</f>
        <v>144700</v>
      </c>
      <c r="D5" s="42">
        <f>IF(C5="",0,C5*J$15)</f>
        <v>17364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127336</v>
      </c>
      <c r="I5" s="219" t="s">
        <v>37</v>
      </c>
      <c r="J5" s="223">
        <f>SUM(IF(C5="",0,C5),IF(C9="",0,C9),IF(C13="",0,C13),IF(C17="",0,C17))</f>
        <v>342650</v>
      </c>
      <c r="K5" s="227">
        <f t="shared" ref="K5" si="2">D5+D9+D13+D17</f>
        <v>41118</v>
      </c>
      <c r="L5" s="224">
        <f>F5+F9+F13+F17</f>
        <v>459000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58800</v>
      </c>
      <c r="K6" s="228">
        <f t="shared" ref="K6" si="3">+D8+D12+D16</f>
        <v>5880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36</v>
      </c>
      <c r="C7" s="29">
        <f>IF(DigitaTICA!C10&lt;&gt;"",DigitaTICA!C10,"")</f>
        <v>150350</v>
      </c>
      <c r="D7" s="42">
        <f>IF(C7="",0,C7*J$14)</f>
        <v>18042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123808</v>
      </c>
      <c r="I7" s="219" t="s">
        <v>96</v>
      </c>
      <c r="J7" s="225">
        <f>SUM(IF(C19="",0,C19),IF(C20="",0,C20))</f>
        <v>34800</v>
      </c>
      <c r="K7" s="228">
        <f>+D19+D20</f>
        <v>4176</v>
      </c>
      <c r="L7" s="229">
        <f>+F19+F20</f>
        <v>21250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27700</v>
      </c>
      <c r="D8" s="42">
        <f>IF(C8="",0,C8*J$16)</f>
        <v>2770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24930</v>
      </c>
      <c r="I8" s="219" t="s">
        <v>104</v>
      </c>
      <c r="J8" s="225">
        <f>SUM(IF(C21="",0,C21),IF(C22="",0,C22),IF(C23="",0,C23))</f>
        <v>19500</v>
      </c>
      <c r="K8" s="228">
        <f t="shared" ref="K8" si="4">D21+D22+D23</f>
        <v>2340</v>
      </c>
      <c r="L8" s="229">
        <f>F21+F22+F23</f>
        <v>34000</v>
      </c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IF(DigitaNICA!E10&lt;&gt;"",DigitaNICA!E10,"")</f>
        <v>67350</v>
      </c>
      <c r="D9" s="42">
        <f>IF(C9="",0,C9*J$15)</f>
        <v>8082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59268</v>
      </c>
      <c r="I9" s="219" t="s">
        <v>20</v>
      </c>
      <c r="J9" s="225">
        <f>SUM(IF(C24="",0,C24),IF(C25="",0,C25))</f>
        <v>129000</v>
      </c>
      <c r="K9" s="228">
        <f t="shared" ref="K9" si="5">+D24+D25</f>
        <v>15480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IF(DigitaTICA!E10&lt;&gt;"",DigitaTICA!E10,"")</f>
        <v>77900</v>
      </c>
      <c r="D11" s="42">
        <f>IF(C11="",0,C11*J$14)</f>
        <v>9348</v>
      </c>
      <c r="E11" s="29">
        <f>IF(DigitaTICA!F10&lt;&gt;"",DigitaTICA!F10,"")</f>
        <v>1700</v>
      </c>
      <c r="F11" s="42">
        <f>IF(E11="",0,E11*PREMIOS!F11)</f>
        <v>144500</v>
      </c>
      <c r="G11" s="30">
        <f t="shared" si="1"/>
        <v>-75948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11750</v>
      </c>
      <c r="D12" s="42">
        <f>IF(C12="",0,C12*J$16)</f>
        <v>1175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10575</v>
      </c>
    </row>
    <row r="13" spans="1:12" ht="15" thickBot="1" x14ac:dyDescent="0.4">
      <c r="A13" s="28" t="s">
        <v>50</v>
      </c>
      <c r="B13" s="133">
        <f>IF(DigitaNICA!G2&lt;&gt;"",DigitaNICA!G2,"")</f>
        <v>45</v>
      </c>
      <c r="C13" s="29">
        <f>IF(DigitaNICA!G10&lt;&gt;"",DigitaNICA!G10,"")</f>
        <v>49450</v>
      </c>
      <c r="D13" s="42">
        <f>IF(C13="",0,C13*J$15)</f>
        <v>5934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35016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43400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IF(DigitaTICA!G10&lt;&gt;"",DigitaTICA!G10,"")</f>
        <v>133400</v>
      </c>
      <c r="D15" s="42">
        <f>IF(C15="",0,C15*J$14)</f>
        <v>16008</v>
      </c>
      <c r="E15" s="29">
        <f>IF(DigitaTICA!H10&lt;&gt;"",DigitaTICA!H10,"")</f>
        <v>550</v>
      </c>
      <c r="F15" s="42">
        <f>IF(E15="",0,E15*PREMIOS!F15)</f>
        <v>46750</v>
      </c>
      <c r="G15" s="30">
        <f t="shared" si="6"/>
        <v>70642</v>
      </c>
      <c r="I15" s="63" t="s">
        <v>37</v>
      </c>
      <c r="J15" s="64">
        <v>0.12</v>
      </c>
      <c r="K15" s="30">
        <f>MROUND(D5+D9+D13+D17,50)</f>
        <v>41100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19350</v>
      </c>
      <c r="D16" s="42">
        <f>IF(C16="",0,C16*J$16)</f>
        <v>1935</v>
      </c>
      <c r="E16" s="29">
        <f>IF(DigitaREVENTADO!H10&lt;&gt;"",DigitaREVENTADO!H10,"")</f>
        <v>300</v>
      </c>
      <c r="F16" s="42">
        <f>IF(E16="",0,E16*PREMIOS!F16)</f>
        <v>0</v>
      </c>
      <c r="G16" s="30">
        <f t="shared" si="6"/>
        <v>17415</v>
      </c>
      <c r="I16" s="63" t="s">
        <v>38</v>
      </c>
      <c r="J16" s="64">
        <v>0.1</v>
      </c>
      <c r="K16" s="30">
        <f>MROUND(D6+D8+D10+D12+D14+D16+D18,50)</f>
        <v>5900</v>
      </c>
    </row>
    <row r="17" spans="1:11" x14ac:dyDescent="0.35">
      <c r="A17" s="28" t="s">
        <v>52</v>
      </c>
      <c r="B17" s="133" t="str">
        <f>IF(DigitaNICA!I2&lt;&gt;"",DigitaNICA!I2,"")</f>
        <v>04</v>
      </c>
      <c r="C17" s="29">
        <f>IF(DigitaNICA!I10&lt;&gt;"",DigitaNICA!I10,"")</f>
        <v>81150</v>
      </c>
      <c r="D17" s="42">
        <f>IF(C17="",0,C17*J$15)</f>
        <v>9738</v>
      </c>
      <c r="E17" s="29">
        <f>IF(DigitaNICA!J10&lt;&gt;"",DigitaNICA!J10,"")</f>
        <v>5300</v>
      </c>
      <c r="F17" s="42">
        <f>IF(E17="",0,E17*PREMIOS!F17)</f>
        <v>450500</v>
      </c>
      <c r="G17" s="30">
        <f t="shared" si="6"/>
        <v>-379088</v>
      </c>
      <c r="I17" s="63" t="s">
        <v>96</v>
      </c>
      <c r="J17" s="64">
        <v>0.12</v>
      </c>
      <c r="K17" s="30">
        <f>MROUND(D19+D20,50)</f>
        <v>4200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2350</v>
      </c>
    </row>
    <row r="19" spans="1:11" x14ac:dyDescent="0.35">
      <c r="A19" s="28" t="s">
        <v>97</v>
      </c>
      <c r="B19" s="133" t="str">
        <f>IF(DigitaPRIMERA!C2&lt;&gt;"",DigitaPRIMERA!C2,"")</f>
        <v>00</v>
      </c>
      <c r="C19" s="29">
        <f>IF(DigitaPRIMERA!$C$10&lt;&gt;"",DigitaPRIMERA!$C$10,"")</f>
        <v>31300</v>
      </c>
      <c r="D19" s="42">
        <f>IF(C19="",0,C19*J$17)</f>
        <v>3756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6294</v>
      </c>
      <c r="I19" s="63" t="s">
        <v>20</v>
      </c>
      <c r="J19" s="64">
        <v>0.12</v>
      </c>
      <c r="K19" s="30">
        <f>MROUND(D24+D25,50)</f>
        <v>15500</v>
      </c>
    </row>
    <row r="20" spans="1:11" ht="15" thickBot="1" x14ac:dyDescent="0.4">
      <c r="A20" s="28" t="s">
        <v>98</v>
      </c>
      <c r="B20" s="133">
        <f>IF(DigitaPRIMERA!E2&lt;&gt;"",DigitaPRIMERA!E2,"")</f>
        <v>17</v>
      </c>
      <c r="C20" s="29">
        <f>IF(DigitaPRIMERA!$E$10&lt;&gt;"",DigitaPRIMERA!$E$10,"")</f>
        <v>3500</v>
      </c>
      <c r="D20" s="42">
        <f>IF(C20="",0,C20*J$17)</f>
        <v>420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3080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60</v>
      </c>
      <c r="C21" s="29">
        <f>IF(DigitaHONDURAS!$C$10&lt;&gt;"",DigitaHONDURAS!$C$10,"")</f>
        <v>10800</v>
      </c>
      <c r="D21" s="42">
        <f>IF(C21="",0,C21*J$18)</f>
        <v>1296</v>
      </c>
      <c r="E21" s="29">
        <f>IF(DigitaHONDURAS!$D$10&lt;&gt;"",DigitaHONDURAS!$D$10,"")</f>
        <v>400</v>
      </c>
      <c r="F21" s="42">
        <f>IF(E21="",0,E21*PREMIOS!F20)</f>
        <v>34000</v>
      </c>
      <c r="G21" s="30">
        <f t="shared" si="7"/>
        <v>-24496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IF(DigitaHONDURAS!$E$10&lt;&gt;"",DigitaHONDURAS!$E$10,"")</f>
        <v>3900</v>
      </c>
      <c r="D22" s="42">
        <f>IF(C22="",0,C22*J$18)</f>
        <v>468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3432</v>
      </c>
    </row>
    <row r="23" spans="1:11" x14ac:dyDescent="0.35">
      <c r="A23" s="28" t="s">
        <v>101</v>
      </c>
      <c r="B23" s="133">
        <f>IF(DigitaHONDURAS!G2&lt;&gt;"",DigitaHONDURAS!G2,"")</f>
        <v>11</v>
      </c>
      <c r="C23" s="29">
        <f>IF(DigitaHONDURAS!$G$10&lt;&gt;"",DigitaHONDURAS!$G$10,"")</f>
        <v>4800</v>
      </c>
      <c r="D23" s="42">
        <f>IF(C23="",0,C23*J$18)</f>
        <v>576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4224</v>
      </c>
    </row>
    <row r="24" spans="1:11" x14ac:dyDescent="0.35">
      <c r="A24" s="28" t="s">
        <v>107</v>
      </c>
      <c r="B24" s="133">
        <f>IF(DigitaDOMINICANA!C2&lt;&gt;"",DigitaDOMINICANA!C2,"")</f>
        <v>40</v>
      </c>
      <c r="C24" s="29">
        <f>IF(DigitaDOMINICANA!$C$10&lt;&gt;"",DigitaDOMINICANA!$C$10,"")</f>
        <v>59500</v>
      </c>
      <c r="D24" s="42">
        <f>IF(C24="",0,C24*J$19)</f>
        <v>7140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52360</v>
      </c>
    </row>
    <row r="25" spans="1:11" x14ac:dyDescent="0.35">
      <c r="A25" s="28" t="s">
        <v>108</v>
      </c>
      <c r="B25" s="133">
        <f>IF(DigitaDOMINICANA!E2&lt;&gt;"",DigitaDOMINICANA!E2,"")</f>
        <v>71</v>
      </c>
      <c r="C25" s="29">
        <f>IF(DigitaDOMINICANA!$E$10&lt;&gt;"",DigitaDOMINICANA!$E$10,"")</f>
        <v>69500</v>
      </c>
      <c r="D25" s="42">
        <f>IF(C25="",0,C25*J$19)</f>
        <v>8340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61160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946400</v>
      </c>
      <c r="D27" s="68">
        <f t="shared" ref="D27:F27" si="9">SUM(D5:D26)</f>
        <v>112392</v>
      </c>
      <c r="E27" s="68">
        <f t="shared" si="9"/>
        <v>8700</v>
      </c>
      <c r="F27" s="68">
        <f t="shared" si="9"/>
        <v>714000</v>
      </c>
      <c r="G27" s="89">
        <f>SUM(G5:G26)</f>
        <v>120008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19900</v>
      </c>
      <c r="K4" s="233">
        <f t="shared" ref="K4" si="0">D7+D11+D15</f>
        <v>2388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IF(DigitaTICA!C11&lt;&gt;"",DigitaTICA!C11,"")</f>
        <v>7100</v>
      </c>
      <c r="D7" s="42">
        <f>IF(C7="",0,C7*J$11)</f>
        <v>852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6248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2400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IF(DigitaTICA!G11&lt;&gt;"",DigitaTICA!G11,"")</f>
        <v>12800</v>
      </c>
      <c r="D15" s="42">
        <f>IF(C15="",0,C15*J$11)</f>
        <v>1536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11264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19900</v>
      </c>
      <c r="D21" s="123">
        <f t="shared" ref="D21:G21" si="5">SUM(D5:D20)</f>
        <v>2388</v>
      </c>
      <c r="E21" s="123">
        <f t="shared" si="5"/>
        <v>0</v>
      </c>
      <c r="F21" s="123">
        <f t="shared" si="5"/>
        <v>0</v>
      </c>
      <c r="G21" s="124">
        <f t="shared" si="5"/>
        <v>17512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85300</v>
      </c>
      <c r="K4" s="233">
        <f>D7+D11+D15</f>
        <v>10236</v>
      </c>
      <c r="L4" s="222">
        <f>F7+F11+F15</f>
        <v>51000</v>
      </c>
    </row>
    <row r="5" spans="1:12" x14ac:dyDescent="0.35">
      <c r="A5" s="28" t="s">
        <v>43</v>
      </c>
      <c r="B5" s="133">
        <f>IF(DigitaNICA!C2&lt;&gt;"",DigitaNICA!C2,"")</f>
        <v>85</v>
      </c>
      <c r="C5" s="29">
        <f>IF(DigitaNICA!C12&lt;&gt;"",DigitaNICA!C12,"")</f>
        <v>42600</v>
      </c>
      <c r="D5" s="42">
        <f>IF(C5="",0,C5*J$12)</f>
        <v>5112</v>
      </c>
      <c r="E5" s="29">
        <f>IF(DigitaNICA!D12&lt;&gt;"",DigitaNICA!D12,"")</f>
        <v>350</v>
      </c>
      <c r="F5" s="42">
        <f>IF(E5="",0,E5*PREMIOS!F5)</f>
        <v>29750</v>
      </c>
      <c r="G5" s="30">
        <f t="shared" ref="G5:G12" si="0">IF(OR(C5="",E5=""),0,C5-D5-F5)</f>
        <v>7738</v>
      </c>
      <c r="I5" s="219" t="s">
        <v>37</v>
      </c>
      <c r="J5" s="223">
        <f>SUM(IF(C5="",0,C5),IF(C9="",0,C9),IF(C13="",0,C13),IF(C17="",0,C17))</f>
        <v>63650</v>
      </c>
      <c r="K5" s="227">
        <f t="shared" ref="K5" si="1">D5+D9+D13+D17</f>
        <v>7638</v>
      </c>
      <c r="L5" s="224">
        <f>F5+F9+F13+F17</f>
        <v>51000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2900</v>
      </c>
      <c r="K6" s="228">
        <f t="shared" ref="K6" si="2">+D8+D12+D16</f>
        <v>290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36</v>
      </c>
      <c r="C7" s="29">
        <f>IF(DigitaTICA!C12&lt;&gt;"",DigitaTICA!C12,"")</f>
        <v>42350</v>
      </c>
      <c r="D7" s="42">
        <f>IF(C7="",0,C7*J$11)</f>
        <v>5082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11768</v>
      </c>
      <c r="I7" s="219" t="s">
        <v>96</v>
      </c>
      <c r="J7" s="225">
        <f>SUM(IF(C19="",0,C19),IF(C20="",0,C20))</f>
        <v>77550</v>
      </c>
      <c r="K7" s="228">
        <f>+D19+D20</f>
        <v>9306</v>
      </c>
      <c r="L7" s="229">
        <f>+F19+F20</f>
        <v>34000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2400</v>
      </c>
      <c r="D8" s="42">
        <f>IF(C8="",0,C8*J$13)</f>
        <v>240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2160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>
        <f>IF(DigitaNICA!E12&lt;&gt;"",DigitaNICA!E12,"")</f>
        <v>21050</v>
      </c>
      <c r="D9" s="42">
        <f>IF(C9="",0,C9*J$12)</f>
        <v>2526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-2726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IF(DigitaTICA!E12&lt;&gt;"",DigitaTICA!E12,"")</f>
        <v>18300</v>
      </c>
      <c r="D11" s="42">
        <f>IF(C11="",0,C11*J$11)</f>
        <v>2196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-9396</v>
      </c>
      <c r="I11" s="60" t="s">
        <v>36</v>
      </c>
      <c r="J11" s="61">
        <v>0.12</v>
      </c>
      <c r="K11" s="62">
        <f>MROUND(D7+D11+D15,50)</f>
        <v>10250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7650</v>
      </c>
    </row>
    <row r="13" spans="1:12" x14ac:dyDescent="0.35">
      <c r="A13" s="28" t="s">
        <v>50</v>
      </c>
      <c r="B13" s="133">
        <f>IF(DigitaNICA!G2&lt;&gt;"",DigitaNICA!G2,"")</f>
        <v>45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9300</v>
      </c>
    </row>
    <row r="15" spans="1:12" ht="15" thickBot="1" x14ac:dyDescent="0.4">
      <c r="A15" s="28" t="s">
        <v>61</v>
      </c>
      <c r="B15" s="133">
        <f>IF(DigitaTICA!G2&lt;&gt;"",DigitaTICA!G2,"")</f>
        <v>96</v>
      </c>
      <c r="C15" s="29">
        <f>IF(DigitaTICA!G12&lt;&gt;"",DigitaTICA!G12,"")</f>
        <v>24650</v>
      </c>
      <c r="D15" s="42">
        <f>IF(C15="",0,C15*J$11)</f>
        <v>2958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21692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IF(DigitaPRIMERA!$C$12&lt;&gt;"",DigitaPRIMERA!$C$12,"")</f>
        <v>77550</v>
      </c>
      <c r="D19" s="42">
        <f>IF(C19="",0,C19*J$14)</f>
        <v>9306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34244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229400</v>
      </c>
      <c r="D24" s="68">
        <f t="shared" ref="D24:G24" si="4">SUM(D5:D23)</f>
        <v>27470</v>
      </c>
      <c r="E24" s="68">
        <f t="shared" si="4"/>
        <v>1600</v>
      </c>
      <c r="F24" s="68">
        <f t="shared" si="4"/>
        <v>136000</v>
      </c>
      <c r="G24" s="89">
        <f t="shared" si="4"/>
        <v>65930</v>
      </c>
    </row>
    <row r="27" spans="1:7" x14ac:dyDescent="0.35">
      <c r="G27" s="21">
        <v>276041</v>
      </c>
    </row>
    <row r="28" spans="1:7" x14ac:dyDescent="0.35">
      <c r="G28" s="142">
        <f>+G24+G27</f>
        <v>341971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86800</v>
      </c>
      <c r="K4" s="233">
        <f t="shared" ref="K4" si="0">D7+D11+D15</f>
        <v>10416</v>
      </c>
      <c r="L4" s="222">
        <f>F7+F11+F15</f>
        <v>110500</v>
      </c>
    </row>
    <row r="5" spans="1:12" ht="15" thickBot="1" x14ac:dyDescent="0.4">
      <c r="A5" s="28" t="s">
        <v>43</v>
      </c>
      <c r="B5" s="133">
        <f>IF(DigitaNICA!C2&lt;&gt;"",DigitaNICA!C2,"")</f>
        <v>85</v>
      </c>
      <c r="C5" s="29">
        <f>IF(DigitaNICA!C13&lt;&gt;"",DigitaNICA!C13,"")</f>
        <v>20700</v>
      </c>
      <c r="D5" s="42">
        <f>IF(C5="",0,C5*J$10)</f>
        <v>2484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18216</v>
      </c>
      <c r="I5" s="220" t="s">
        <v>37</v>
      </c>
      <c r="J5" s="234">
        <f>SUM(IF(C5="",0,C5),IF(C9="",0,C9),IF(C13="",0,C13),IF(C17="",0,C17))</f>
        <v>48150</v>
      </c>
      <c r="K5" s="235">
        <f t="shared" ref="K5" si="2">D5+D9+D13+D17</f>
        <v>5778</v>
      </c>
      <c r="L5" s="236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IF(DigitaTICA!C13&lt;&gt;"",DigitaTICA!C13,"")</f>
        <v>24700</v>
      </c>
      <c r="D7" s="42">
        <f>IF(C7="",0,C7*J$9)</f>
        <v>2964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21736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IF(DigitaNICA!E13&lt;&gt;"",DigitaNICA!E13,"")</f>
        <v>19050</v>
      </c>
      <c r="D9" s="42">
        <f>IF(C9="",0,C9*J$10)</f>
        <v>2286</v>
      </c>
      <c r="E9" s="29">
        <f>IF(DigitaNICA!F13&lt;&gt;"",DigitaNICA!F13,"")</f>
        <v>200</v>
      </c>
      <c r="F9" s="134">
        <f>IF(E9="",0,E9*PREMIOS!E9)</f>
        <v>16000</v>
      </c>
      <c r="G9" s="30">
        <f t="shared" si="1"/>
        <v>764</v>
      </c>
      <c r="I9" s="60" t="s">
        <v>36</v>
      </c>
      <c r="J9" s="61">
        <v>0.12</v>
      </c>
      <c r="K9" s="62">
        <f>MROUND(D7+D11+D15,50)</f>
        <v>10400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5800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>
        <f>IF(DigitaTICA!E13&lt;&gt;"",DigitaTICA!E13,"")</f>
        <v>18250</v>
      </c>
      <c r="D11" s="42">
        <f>IF(C11="",0,C11*J$9)</f>
        <v>2190</v>
      </c>
      <c r="E11" s="29">
        <f>IF(DigitaTICA!F13&lt;&gt;"",DigitaTICA!F13,"")</f>
        <v>1100</v>
      </c>
      <c r="F11" s="134">
        <f>IF(E11="",0,E11*PREMIOS!F11)</f>
        <v>93500</v>
      </c>
      <c r="G11" s="30">
        <f t="shared" si="1"/>
        <v>-77440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>
        <f>IF(DigitaNICA!G13&lt;&gt;"",DigitaNICA!G13,"")</f>
        <v>2200</v>
      </c>
      <c r="D13" s="42">
        <f>IF(C13="",0,C13*J$10)</f>
        <v>264</v>
      </c>
      <c r="E13" s="29">
        <f>IF(DigitaNICA!H13&lt;&gt;"",DigitaNICA!H13,"")</f>
        <v>100</v>
      </c>
      <c r="F13" s="134">
        <f>IF(E13="",0,E13*PREMIOS!E13)</f>
        <v>8000</v>
      </c>
      <c r="G13" s="30">
        <f>IF(OR(C13="",E13=""),0,C13-D13-F13)</f>
        <v>-6064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IF(DigitaTICA!G13&lt;&gt;"",DigitaTICA!G13,"")</f>
        <v>43850</v>
      </c>
      <c r="D15" s="42">
        <f>IF(C15="",0,C15*J$9)</f>
        <v>5262</v>
      </c>
      <c r="E15" s="29">
        <f>IF(DigitaTICA!H13&lt;&gt;"",DigitaTICA!H13,"")</f>
        <v>200</v>
      </c>
      <c r="F15" s="134">
        <f>IF(E15="",0,E15*PREMIOS!F15)</f>
        <v>17000</v>
      </c>
      <c r="G15" s="30">
        <f t="shared" si="3"/>
        <v>21588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>
        <f>IF(DigitaNICA!I13&lt;&gt;"",DigitaNICA!I13,"")</f>
        <v>6200</v>
      </c>
      <c r="D17" s="42">
        <f>IF(C17="",0,C17*J$10)</f>
        <v>744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5456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134950</v>
      </c>
      <c r="D19" s="68">
        <f>MROUND(SUM(D5:D18),50)</f>
        <v>16200</v>
      </c>
      <c r="E19" s="68">
        <f>SUM(E5:E18)</f>
        <v>1600</v>
      </c>
      <c r="F19" s="68">
        <f>SUM(F5:F18)</f>
        <v>134500</v>
      </c>
      <c r="G19" s="89">
        <f>SUM(G5:G18)</f>
        <v>-15744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129600</v>
      </c>
      <c r="K4" s="238">
        <f t="shared" ref="K4" si="0">D7+D11+D15</f>
        <v>19440</v>
      </c>
      <c r="L4" s="239">
        <f>F7+F11+F15</f>
        <v>120000</v>
      </c>
    </row>
    <row r="5" spans="1:12" x14ac:dyDescent="0.35">
      <c r="A5" s="28" t="s">
        <v>43</v>
      </c>
      <c r="B5" s="133">
        <f>IF(DigitaNICA!C2&lt;&gt;"",DigitaNICA!C2,"")</f>
        <v>85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IF(DigitaTICA!C14&lt;&gt;"",DigitaTICA!C14,"")</f>
        <v>51100</v>
      </c>
      <c r="D7" s="42">
        <f>IF(C7="",0,C7*J$9)</f>
        <v>7665</v>
      </c>
      <c r="E7" s="29">
        <f>IF(DigitaTICA!D14&lt;&gt;"",DigitaTICA!D14,"")</f>
        <v>1300</v>
      </c>
      <c r="F7" s="42">
        <f>IF(E7="",0,E7*PREMIOS!E7)</f>
        <v>104000</v>
      </c>
      <c r="G7" s="30">
        <f t="shared" si="1"/>
        <v>-60565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19450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>
        <f>IF(DigitaTICA!E14&lt;&gt;"",DigitaTICA!E14,"")</f>
        <v>19800</v>
      </c>
      <c r="D11" s="42">
        <f>IF(C11="",0,C11*J$9)</f>
        <v>2970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16830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IF(DigitaTICA!G14&lt;&gt;"",DigitaTICA!G14,"")</f>
        <v>58700</v>
      </c>
      <c r="D15" s="42">
        <f>IF(C15="",0,C15*J$9)</f>
        <v>8805</v>
      </c>
      <c r="E15" s="29">
        <f>IF(DigitaTICA!H14&lt;&gt;"",DigitaTICA!H14,"")</f>
        <v>200</v>
      </c>
      <c r="F15" s="42">
        <f>IF(E15="",0,E15*PREMIOS!E15)</f>
        <v>16000</v>
      </c>
      <c r="G15" s="30">
        <f t="shared" si="2"/>
        <v>33895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129600</v>
      </c>
      <c r="D19" s="68">
        <f>MROUND(SUM(D5:D18),50)</f>
        <v>19450</v>
      </c>
      <c r="E19" s="68">
        <f>SUM(E5:E18)</f>
        <v>1500</v>
      </c>
      <c r="F19" s="68">
        <f>SUM(F5:F18)</f>
        <v>120000</v>
      </c>
      <c r="G19" s="89">
        <f>SUM(G5:G18)</f>
        <v>-9840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4700</v>
      </c>
      <c r="K4" s="233">
        <f t="shared" ref="K4" si="0">D7+D11+D15</f>
        <v>470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85</v>
      </c>
      <c r="C5" s="29">
        <f>IF(DigitaNICA!C15&lt;&gt;"",DigitaNICA!C15,"")</f>
        <v>3450</v>
      </c>
      <c r="D5" s="42">
        <f>IF(C5="",0,C5*J$10)</f>
        <v>414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3036</v>
      </c>
      <c r="I5" s="220" t="s">
        <v>37</v>
      </c>
      <c r="J5" s="234">
        <f>SUM(IF(C5="",0,C5),IF(C9="",0,C9),IF(C13="",0,C13),IF(C17="",0,C17))</f>
        <v>3450</v>
      </c>
      <c r="K5" s="235">
        <f t="shared" ref="K5" si="2">D5+D9+D13+D17</f>
        <v>414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IF(DigitaTICA!C15&lt;&gt;"",DigitaTICA!C15,"")</f>
        <v>2300</v>
      </c>
      <c r="D7" s="42">
        <f>IF(C7="",0,C7*J$9)</f>
        <v>230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2070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400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IF(DigitaTICA!G15&lt;&gt;"",DigitaTICA!G15,"")</f>
        <v>2400</v>
      </c>
      <c r="D15" s="42">
        <f>IF(C15="",0,C15*J$9)</f>
        <v>240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2160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8150</v>
      </c>
      <c r="D19" s="68">
        <f>MROUND(SUM(D5:D18),50)</f>
        <v>900</v>
      </c>
      <c r="E19" s="68">
        <f>SUM(E5:E18)</f>
        <v>0</v>
      </c>
      <c r="F19" s="68">
        <f>SUM(F5:F18)</f>
        <v>0</v>
      </c>
      <c r="G19" s="89">
        <f>SUM(G5:G18)</f>
        <v>7266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99000</v>
      </c>
      <c r="K4" s="233">
        <f>D7+D11+D15</f>
        <v>11880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85</v>
      </c>
      <c r="C5" s="29">
        <f>IF(DigitaNICA!C16&lt;&gt;"",DigitaNICA!C16,"")</f>
        <v>8300</v>
      </c>
      <c r="D5" s="42">
        <f>IF(C5="",0,C5*J$12)</f>
        <v>996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7304</v>
      </c>
      <c r="I5" s="219" t="s">
        <v>37</v>
      </c>
      <c r="J5" s="223">
        <f>SUM(IF(C5="",0,C5),IF(C9="",0,C9),IF(C13="",0,C13),IF(C17="",0,C17))</f>
        <v>46000</v>
      </c>
      <c r="K5" s="227">
        <f t="shared" ref="K5" si="1">D5+D9+D13+D17</f>
        <v>5520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IF(DigitaTICA!C16&lt;&gt;"",DigitaTICA!C16,"")</f>
        <v>38100</v>
      </c>
      <c r="D7" s="42">
        <f>IF(C7="",0,C7*J$11)</f>
        <v>4572</v>
      </c>
      <c r="E7" s="29">
        <f>IF(DigitaTICA!D16&lt;&gt;"",DigitaTICA!D16,"")</f>
        <v>500</v>
      </c>
      <c r="F7" s="134">
        <f>IF(E7="",0,E7*PREMIOS!F7)</f>
        <v>42500</v>
      </c>
      <c r="G7" s="30">
        <f t="shared" si="0"/>
        <v>-8972</v>
      </c>
      <c r="I7" s="220" t="s">
        <v>96</v>
      </c>
      <c r="J7" s="226">
        <f>SUM(IF(C19="",0,C19),IF(C20="",0,C20))</f>
        <v>7400</v>
      </c>
      <c r="K7" s="230">
        <f>+D19+D20</f>
        <v>888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>
        <f>IF(DigitaNICA!E16&lt;&gt;"",DigitaNICA!E16,"")</f>
        <v>10100</v>
      </c>
      <c r="D9" s="42">
        <f>IF(C9="",0,C9*J$12)</f>
        <v>1212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8888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IF(DigitaTICA!E16&lt;&gt;"",DigitaTICA!E16,"")</f>
        <v>29200</v>
      </c>
      <c r="D11" s="42">
        <f>IF(C11="",0,C11*J$11)</f>
        <v>3504</v>
      </c>
      <c r="E11" s="29">
        <f>IF(DigitaTICA!F16&lt;&gt;"",DigitaTICA!F16,"")</f>
        <v>500</v>
      </c>
      <c r="F11" s="134">
        <f>IF(E11="",0,E11*PREMIOS!F11)</f>
        <v>42500</v>
      </c>
      <c r="G11" s="30">
        <f t="shared" si="0"/>
        <v>-16804</v>
      </c>
      <c r="I11" s="77" t="s">
        <v>36</v>
      </c>
      <c r="J11" s="78">
        <v>0.12</v>
      </c>
      <c r="K11" s="79">
        <f>MROUND(D7+D11+D15,50)</f>
        <v>11900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5500</v>
      </c>
    </row>
    <row r="13" spans="1:12" x14ac:dyDescent="0.35">
      <c r="A13" s="28" t="s">
        <v>50</v>
      </c>
      <c r="B13" s="133">
        <f>IF(DigitaNICA!G2&lt;&gt;"",DigitaNICA!G2,"")</f>
        <v>45</v>
      </c>
      <c r="C13" s="29">
        <f>IF(DigitaNICA!G16&lt;&gt;"",DigitaNICA!G16,"")</f>
        <v>4900</v>
      </c>
      <c r="D13" s="42">
        <f>IF(C13="",0,C13*J$12)</f>
        <v>588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4312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900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IF(DigitaTICA!G16&lt;&gt;"",DigitaTICA!G16,"")</f>
        <v>31700</v>
      </c>
      <c r="D15" s="42">
        <f>IF(C15="",0,C15*J$11)</f>
        <v>3804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27896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>
        <f>IF(DigitaNICA!I16&lt;&gt;"",DigitaNICA!I16,"")</f>
        <v>22700</v>
      </c>
      <c r="D17" s="42">
        <f>IF(C17="",0,C17*J$12)</f>
        <v>2724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19976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00</v>
      </c>
      <c r="C19" s="29">
        <f>IF(DigitaPRIMERA!C16&lt;&gt;"",DigitaPRIMERA!C16,"")</f>
        <v>7400</v>
      </c>
      <c r="D19" s="42">
        <f>IF(C19="",0,C19*J$14)</f>
        <v>888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6512</v>
      </c>
    </row>
    <row r="20" spans="1:7" x14ac:dyDescent="0.35">
      <c r="A20" s="28" t="s">
        <v>98</v>
      </c>
      <c r="B20" s="133">
        <f>IF(DigitaPRIMERA!E2&lt;&gt;"",DigitaPRIMERA!E2,"")</f>
        <v>17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152400</v>
      </c>
      <c r="D21" s="123">
        <f t="shared" ref="D21:G21" si="4">SUM(D5:D20)</f>
        <v>18288</v>
      </c>
      <c r="E21" s="123">
        <f t="shared" si="4"/>
        <v>1000</v>
      </c>
      <c r="F21" s="123">
        <f t="shared" si="4"/>
        <v>85000</v>
      </c>
      <c r="G21" s="124">
        <f t="shared" si="4"/>
        <v>49112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539650</v>
      </c>
      <c r="K4" s="233">
        <f t="shared" ref="K4" si="0">D7+D11+D15</f>
        <v>64758</v>
      </c>
      <c r="L4" s="222">
        <f>F7+F11+F15</f>
        <v>191250</v>
      </c>
    </row>
    <row r="5" spans="1:12" x14ac:dyDescent="0.35">
      <c r="A5" s="28" t="s">
        <v>43</v>
      </c>
      <c r="B5" s="133">
        <f>IF(DigitaNICA!C2&lt;&gt;"",DigitaNICA!C2,"")</f>
        <v>85</v>
      </c>
      <c r="C5" s="90">
        <f>IF(DigitaNICA!C17&lt;&gt;"",DigitaNICA!C17,"")</f>
        <v>158300</v>
      </c>
      <c r="D5" s="42">
        <f>IF(C5="",0,C5*J$16)</f>
        <v>18996</v>
      </c>
      <c r="E5" s="90">
        <f>IF(DigitaNICA!D17&lt;&gt;"",DigitaNICA!D17,"")</f>
        <v>1150</v>
      </c>
      <c r="F5" s="42">
        <f>IF(E5="",0,E5*PREMIOS!F5)</f>
        <v>97750</v>
      </c>
      <c r="G5" s="91">
        <f t="shared" ref="G5:G12" si="1">IF(OR(C5="",E5=""),0,C5-D5-F5)</f>
        <v>41554</v>
      </c>
      <c r="I5" s="219" t="s">
        <v>37</v>
      </c>
      <c r="J5" s="223">
        <f>SUM(IF(C5="",0,C5),IF(C9="",0,C9),IF(C13="",0,C13),IF(C17="",0,C17))</f>
        <v>559950</v>
      </c>
      <c r="K5" s="227">
        <f t="shared" ref="K5" si="2">D5+D9+D13+D17</f>
        <v>67194</v>
      </c>
      <c r="L5" s="224">
        <f>F5+F9+F13+F17</f>
        <v>378250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73900</v>
      </c>
      <c r="K6" s="228">
        <f t="shared" ref="K6" si="3">+D8+D12+D16</f>
        <v>7390</v>
      </c>
      <c r="L6" s="229">
        <f>+F8+F12+F16</f>
        <v>60000</v>
      </c>
    </row>
    <row r="7" spans="1:12" x14ac:dyDescent="0.35">
      <c r="A7" s="28" t="s">
        <v>46</v>
      </c>
      <c r="B7" s="133">
        <f>IF(DigitaTICA!C2&lt;&gt;"",DigitaTICA!C2,"")</f>
        <v>36</v>
      </c>
      <c r="C7" s="90">
        <f>IF(DigitaTICA!C17&lt;&gt;"",DigitaTICA!C17,"")</f>
        <v>160800</v>
      </c>
      <c r="D7" s="42">
        <f>IF(C7="",0,C7*J$15)</f>
        <v>19296</v>
      </c>
      <c r="E7" s="90">
        <f>IF(DigitaTICA!D17&lt;&gt;"",DigitaTICA!D17,"")</f>
        <v>700</v>
      </c>
      <c r="F7" s="42">
        <f>IF(E7="",0,E7*PREMIOS!F7)</f>
        <v>59500</v>
      </c>
      <c r="G7" s="91">
        <f t="shared" si="1"/>
        <v>82004</v>
      </c>
      <c r="I7" s="219" t="s">
        <v>96</v>
      </c>
      <c r="J7" s="225">
        <f>SUM(IF(C19="",0,C19),IF(C20="",0,C20))</f>
        <v>135700</v>
      </c>
      <c r="K7" s="228">
        <f>+D19+D20</f>
        <v>16284</v>
      </c>
      <c r="L7" s="229">
        <f>+F19+F20</f>
        <v>131750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21200</v>
      </c>
      <c r="D8" s="42">
        <f>IF(C8="",0,C8*J$17)</f>
        <v>2120</v>
      </c>
      <c r="E8" s="90">
        <f>IF(DigitaREVENTADO!D17&lt;&gt;"",DigitaREVENTADO!D17,"")</f>
        <v>300</v>
      </c>
      <c r="F8" s="42">
        <f>IF(E8="",0,E8*PREMIOS!F8)</f>
        <v>60000</v>
      </c>
      <c r="G8" s="91">
        <f t="shared" si="1"/>
        <v>-40920</v>
      </c>
      <c r="I8" s="219" t="s">
        <v>104</v>
      </c>
      <c r="J8" s="225">
        <f>SUM(IF(C21="",0,C21),IF(C22="",0,C22),IF(C23="",0,C23))</f>
        <v>127550</v>
      </c>
      <c r="K8" s="228">
        <f t="shared" ref="K8" si="4">D21+D22+D23</f>
        <v>15306</v>
      </c>
      <c r="L8" s="229">
        <f>F21+F22+F23</f>
        <v>306000</v>
      </c>
    </row>
    <row r="9" spans="1:12" x14ac:dyDescent="0.35">
      <c r="A9" s="28" t="s">
        <v>48</v>
      </c>
      <c r="B9" s="133">
        <f>IF(DigitaNICA!E2&lt;&gt;"",DigitaNICA!E2,"")</f>
        <v>42</v>
      </c>
      <c r="C9" s="90">
        <f>IF(DigitaNICA!E17&lt;&gt;"",DigitaNICA!E17,"")</f>
        <v>114000</v>
      </c>
      <c r="D9" s="42">
        <f>IF(C9="",0,C9*J$16)</f>
        <v>13680</v>
      </c>
      <c r="E9" s="90">
        <f>IF(DigitaNICA!F17&lt;&gt;"",DigitaNICA!F17,"")</f>
        <v>900</v>
      </c>
      <c r="F9" s="42">
        <f>IF(E9="",0,E9*PREMIOS!F9)</f>
        <v>76500</v>
      </c>
      <c r="G9" s="91">
        <f t="shared" si="1"/>
        <v>23820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90">
        <f>IF(DigitaTICA!E17&lt;&gt;"",DigitaTICA!E17,"")</f>
        <v>147900</v>
      </c>
      <c r="D11" s="42">
        <f>IF(C11="",0,C11*J$15)</f>
        <v>17748</v>
      </c>
      <c r="E11" s="90">
        <f>IF(DigitaTICA!F17&lt;&gt;"",DigitaTICA!F17,"")</f>
        <v>1150</v>
      </c>
      <c r="F11" s="42">
        <f>IF(E11="",0,E11*PREMIOS!F11)</f>
        <v>97750</v>
      </c>
      <c r="G11" s="91">
        <f t="shared" si="1"/>
        <v>32402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24400</v>
      </c>
      <c r="D12" s="42">
        <f>IF(C12="",0,C12*J$17)</f>
        <v>2440</v>
      </c>
      <c r="E12" s="90">
        <f>IF(DigitaREVENTADO!F17&lt;&gt;"",DigitaREVENTADO!F17,"")</f>
        <v>100</v>
      </c>
      <c r="F12" s="42">
        <f>IF(E12="",0,E12*PREMIOS!F12)</f>
        <v>0</v>
      </c>
      <c r="G12" s="91">
        <f t="shared" si="1"/>
        <v>21960</v>
      </c>
    </row>
    <row r="13" spans="1:12" ht="15" thickBot="1" x14ac:dyDescent="0.4">
      <c r="A13" s="28" t="s">
        <v>50</v>
      </c>
      <c r="B13" s="133">
        <f>IF(DigitaNICA!G2&lt;&gt;"",DigitaNICA!G2,"")</f>
        <v>45</v>
      </c>
      <c r="C13" s="90">
        <f>IF(DigitaNICA!G17&lt;&gt;"",DigitaNICA!G17,"")</f>
        <v>109400</v>
      </c>
      <c r="D13" s="42">
        <f>IF(C13="",0,C13*J$16)</f>
        <v>13128</v>
      </c>
      <c r="E13" s="90">
        <f>IF(DigitaNICA!H17&lt;&gt;"",DigitaNICA!H17,"")</f>
        <v>800</v>
      </c>
      <c r="F13" s="42">
        <f>IF(E13="",0,E13*PREMIOS!F13)</f>
        <v>68000</v>
      </c>
      <c r="G13" s="91">
        <f>IF(OR(C13="",E13=""),0,C13-D13-F13)</f>
        <v>28272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96</v>
      </c>
      <c r="C15" s="90">
        <f>IF(DigitaTICA!G17&lt;&gt;"",DigitaTICA!G17,"")</f>
        <v>230950</v>
      </c>
      <c r="D15" s="42">
        <f>IF(C15="",0,C15*J$15)</f>
        <v>27714</v>
      </c>
      <c r="E15" s="90">
        <f>IF(DigitaTICA!H17&lt;&gt;"",DigitaTICA!H17,"")</f>
        <v>400</v>
      </c>
      <c r="F15" s="42">
        <f>IF(E15="",0,E15*PREMIOS!F15)</f>
        <v>34000</v>
      </c>
      <c r="G15" s="91">
        <f t="shared" si="6"/>
        <v>169236</v>
      </c>
      <c r="I15" s="77" t="s">
        <v>36</v>
      </c>
      <c r="J15" s="78">
        <v>0.12</v>
      </c>
      <c r="K15" s="79">
        <f>MROUND(D7+D11+D15,50)</f>
        <v>64750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28300</v>
      </c>
      <c r="D16" s="42">
        <f>IF(C16="",0,C16*J$17)</f>
        <v>2830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25470</v>
      </c>
      <c r="I16" s="63" t="s">
        <v>37</v>
      </c>
      <c r="J16" s="64">
        <v>0.12</v>
      </c>
      <c r="K16" s="30">
        <f>MROUND(D5+D9+D13+D17,50)</f>
        <v>67200</v>
      </c>
    </row>
    <row r="17" spans="1:11" x14ac:dyDescent="0.35">
      <c r="A17" s="28" t="s">
        <v>52</v>
      </c>
      <c r="B17" s="133" t="str">
        <f>IF(DigitaNICA!I2&lt;&gt;"",DigitaNICA!I2,"")</f>
        <v>04</v>
      </c>
      <c r="C17" s="90">
        <f>IF(DigitaNICA!I17&lt;&gt;"",DigitaNICA!I17,"")</f>
        <v>178250</v>
      </c>
      <c r="D17" s="42">
        <f>IF(C17="",0,C17*J$16)</f>
        <v>21390</v>
      </c>
      <c r="E17" s="90">
        <f>IF(DigitaNICA!J17&lt;&gt;"",DigitaNICA!J17,"")</f>
        <v>1600</v>
      </c>
      <c r="F17" s="42">
        <f>IF(E17="",0,E17*PREMIOS!F17)</f>
        <v>136000</v>
      </c>
      <c r="G17" s="91">
        <f t="shared" si="6"/>
        <v>20860</v>
      </c>
      <c r="I17" s="63" t="s">
        <v>38</v>
      </c>
      <c r="J17" s="64">
        <v>0.1</v>
      </c>
      <c r="K17" s="30">
        <f>MROUND(D6+D8+D10+D12+D14+D16+D18,50)</f>
        <v>7400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16300</v>
      </c>
    </row>
    <row r="19" spans="1:11" x14ac:dyDescent="0.35">
      <c r="A19" s="28" t="s">
        <v>97</v>
      </c>
      <c r="B19" s="133" t="str">
        <f>IF(DigitaPRIMERA!C2&lt;&gt;"",DigitaPRIMERA!C2,"")</f>
        <v>00</v>
      </c>
      <c r="C19" s="29">
        <f>IF(DigitaPRIMERA!$C$17&lt;&gt;"",DigitaPRIMERA!$C$17,"")</f>
        <v>72100</v>
      </c>
      <c r="D19" s="42">
        <f>IF(C19="",0,C19*J$18)</f>
        <v>8652</v>
      </c>
      <c r="E19" s="29">
        <f>IF(DigitaPRIMERA!$D$17&lt;&gt;"",DigitaPRIMERA!$D$17,"")</f>
        <v>1450</v>
      </c>
      <c r="F19" s="42">
        <f>IF(E19="",0,E19*PREMIOS!F19)</f>
        <v>123250</v>
      </c>
      <c r="G19" s="30">
        <f t="shared" si="6"/>
        <v>-59802</v>
      </c>
      <c r="I19" s="63" t="s">
        <v>104</v>
      </c>
      <c r="J19" s="64">
        <v>0.12</v>
      </c>
      <c r="K19" s="30">
        <f>MROUND(D21+D22+D23,50)</f>
        <v>15300</v>
      </c>
    </row>
    <row r="20" spans="1:11" x14ac:dyDescent="0.35">
      <c r="A20" s="28" t="s">
        <v>98</v>
      </c>
      <c r="B20" s="133">
        <f>IF(DigitaPRIMERA!E2&lt;&gt;"",DigitaPRIMERA!E2,"")</f>
        <v>17</v>
      </c>
      <c r="C20" s="29">
        <f>IF(DigitaPRIMERA!$E$17&lt;&gt;"",DigitaPRIMERA!$E$17,"")</f>
        <v>63600</v>
      </c>
      <c r="D20" s="42">
        <f>IF(C20="",0,C20*J$18)</f>
        <v>7632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47468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60</v>
      </c>
      <c r="C21" s="29">
        <f>IF(DigitaHONDURAS!$C$17&lt;&gt;"",DigitaHONDURAS!$C$17,"")</f>
        <v>79300</v>
      </c>
      <c r="D21" s="42">
        <f>IF(C21="",0,C21*J$19)</f>
        <v>9516</v>
      </c>
      <c r="E21" s="29">
        <f>IF(DigitaHONDURAS!$D$17&lt;&gt;"",DigitaHONDURAS!$D$17,"")</f>
        <v>2800</v>
      </c>
      <c r="F21" s="42">
        <f>IF(E21="",0,E21*PREMIOS!F20)</f>
        <v>238000</v>
      </c>
      <c r="G21" s="30">
        <f t="shared" si="6"/>
        <v>-168216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IF(DigitaHONDURAS!$E$17&lt;&gt;"",DigitaHONDURAS!$E$17,"")</f>
        <v>6700</v>
      </c>
      <c r="D22" s="42">
        <f>IF(C22="",0,C22*J$19)</f>
        <v>804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5896</v>
      </c>
    </row>
    <row r="23" spans="1:11" x14ac:dyDescent="0.35">
      <c r="A23" s="28" t="s">
        <v>101</v>
      </c>
      <c r="B23" s="133">
        <f>IF(DigitaHONDURAS!G2&lt;&gt;"",DigitaHONDURAS!G2,"")</f>
        <v>11</v>
      </c>
      <c r="C23" s="29">
        <f>IF(DigitaHONDURAS!$G$17&lt;&gt;"",DigitaHONDURAS!$G$17,"")</f>
        <v>41550</v>
      </c>
      <c r="D23" s="42">
        <f>IF(C23="",0,C23*J$19)</f>
        <v>4986</v>
      </c>
      <c r="E23" s="29">
        <f>IF(DigitaHONDURAS!$H$17&lt;&gt;"",DigitaHONDURAS!$H$17,"")</f>
        <v>800</v>
      </c>
      <c r="F23" s="42">
        <f>IF(E23="",0,E23*PREMIOS!F20)</f>
        <v>68000</v>
      </c>
      <c r="G23" s="30">
        <f t="shared" si="6"/>
        <v>-31436</v>
      </c>
    </row>
    <row r="24" spans="1:11" x14ac:dyDescent="0.35">
      <c r="A24" s="28" t="s">
        <v>102</v>
      </c>
      <c r="B24" s="133">
        <f>IF(DigitaDOMINICANA!C2&lt;&gt;"",DigitaDOMINICANA!C2,"")</f>
        <v>40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1436750</v>
      </c>
      <c r="D27" s="68">
        <f t="shared" ref="D27:G27" si="7">SUM(D5:D26)</f>
        <v>170932</v>
      </c>
      <c r="E27" s="68">
        <f t="shared" si="7"/>
        <v>12250</v>
      </c>
      <c r="F27" s="68">
        <f t="shared" si="7"/>
        <v>1067250</v>
      </c>
      <c r="G27" s="89">
        <f t="shared" si="7"/>
        <v>198568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118150</v>
      </c>
      <c r="K4" s="233">
        <f t="shared" ref="K4" si="0">D7+D11+D15</f>
        <v>14178</v>
      </c>
      <c r="L4" s="222">
        <f>F7+F11+F15</f>
        <v>25500</v>
      </c>
    </row>
    <row r="5" spans="1:12" x14ac:dyDescent="0.35">
      <c r="A5" s="28" t="str">
        <f>+Vendedor1!A5</f>
        <v>Nica 11am</v>
      </c>
      <c r="B5" s="133">
        <f>IF(DigitaNICA!C2&lt;&gt;"",DigitaNICA!C2,"")</f>
        <v>85</v>
      </c>
      <c r="C5" s="29">
        <f>IF(DigitaNICA!C18&lt;&gt;"",DigitaNICA!C18,"")</f>
        <v>34550</v>
      </c>
      <c r="D5" s="42">
        <f>IF(C5="",0,C5*J$16)</f>
        <v>4146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13404</v>
      </c>
      <c r="I5" s="219" t="s">
        <v>37</v>
      </c>
      <c r="J5" s="223">
        <f>SUM(IF(C5="",0,C5),IF(C9="",0,C9),IF(C13="",0,C13),IF(C17="",0,C17))</f>
        <v>123500</v>
      </c>
      <c r="K5" s="227">
        <f t="shared" ref="K5" si="2">D5+D9+D13+D17</f>
        <v>14820</v>
      </c>
      <c r="L5" s="224">
        <f>F5+F9+F13+F17</f>
        <v>102000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42650</v>
      </c>
      <c r="K6" s="228">
        <f t="shared" ref="K6" si="3">+D8+D12+D16</f>
        <v>4265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36</v>
      </c>
      <c r="C7" s="29">
        <f>IF(DigitaTICA!C18&lt;&gt;"",DigitaTICA!C18,"")</f>
        <v>39950</v>
      </c>
      <c r="D7" s="42">
        <f>IF(C7="",0,C7*J$15)</f>
        <v>4794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26656</v>
      </c>
      <c r="I7" s="219" t="s">
        <v>96</v>
      </c>
      <c r="J7" s="225">
        <f>SUM(IF(C19="",0,C19),IF(C20="",0,C20))</f>
        <v>50200</v>
      </c>
      <c r="K7" s="228">
        <f>+D19+D20</f>
        <v>6024</v>
      </c>
      <c r="L7" s="229">
        <f>+F19+F20</f>
        <v>34000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17250</v>
      </c>
      <c r="D8" s="42">
        <f>IF(C8="",0,C8*J$17)</f>
        <v>1725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-4475</v>
      </c>
      <c r="I8" s="219" t="s">
        <v>104</v>
      </c>
      <c r="J8" s="225">
        <f>SUM(IF(C21="",0,C21),IF(C22="",0,C22),IF(C23="",0,C23))</f>
        <v>13400</v>
      </c>
      <c r="K8" s="228">
        <f t="shared" ref="K8" si="4">D21+D22+D23</f>
        <v>1608</v>
      </c>
      <c r="L8" s="229">
        <f>F21+F22+F23</f>
        <v>85000</v>
      </c>
    </row>
    <row r="9" spans="1:12" x14ac:dyDescent="0.35">
      <c r="A9" s="28" t="str">
        <f>+Vendedor1!A9</f>
        <v>Nica 3pm</v>
      </c>
      <c r="B9" s="133">
        <f>IF(DigitaNICA!E2&lt;&gt;"",DigitaNICA!E2,"")</f>
        <v>42</v>
      </c>
      <c r="C9" s="29">
        <f>IF(DigitaNICA!E18&lt;&gt;"",DigitaNICA!E18,"")</f>
        <v>46750</v>
      </c>
      <c r="D9" s="42">
        <f>IF(C9="",0,C9*J$16)</f>
        <v>5610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41140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18</v>
      </c>
      <c r="C11" s="29">
        <f>IF(DigitaTICA!E18&lt;&gt;"",DigitaTICA!E18,"")</f>
        <v>25100</v>
      </c>
      <c r="D11" s="42">
        <f>IF(C11="",0,C11*J$15)</f>
        <v>3012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22088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13100</v>
      </c>
      <c r="D12" s="42">
        <f>IF(C12="",0,C12*J$17)</f>
        <v>1310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11790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45</v>
      </c>
      <c r="C13" s="29">
        <f>IF(DigitaNICA!G18&lt;&gt;"",DigitaNICA!G18,"")</f>
        <v>26700</v>
      </c>
      <c r="D13" s="42">
        <f>IF(C13="",0,C13*J$16)</f>
        <v>3204</v>
      </c>
      <c r="E13" s="29">
        <f>IF(DigitaNICA!H18&lt;&gt;"",DigitaNICA!H18,"")</f>
        <v>1000</v>
      </c>
      <c r="F13" s="42">
        <f>IF(E13="",0,E13*PREMIOS!F13)</f>
        <v>85000</v>
      </c>
      <c r="G13" s="30">
        <f>IF(OR(C13="",E13=""),0,C13-D13-F13)</f>
        <v>-61504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96</v>
      </c>
      <c r="C15" s="29">
        <f>IF(DigitaTICA!G18&lt;&gt;"",DigitaTICA!G18,"")</f>
        <v>53100</v>
      </c>
      <c r="D15" s="42">
        <f>IF(C15="",0,C15*J$15)</f>
        <v>6372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29728</v>
      </c>
      <c r="I15" s="77" t="s">
        <v>36</v>
      </c>
      <c r="J15" s="78">
        <v>0.12</v>
      </c>
      <c r="K15" s="79">
        <f>MROUND(D7+D11+D15,50)</f>
        <v>14200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12300</v>
      </c>
      <c r="D16" s="42">
        <f>IF(C16="",0,C16*J$17)</f>
        <v>1230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11070</v>
      </c>
      <c r="I16" s="63" t="s">
        <v>37</v>
      </c>
      <c r="J16" s="64">
        <v>0.12</v>
      </c>
      <c r="K16" s="30">
        <f>MROUND(D5+D9+D13+D17,50)</f>
        <v>14800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04</v>
      </c>
      <c r="C17" s="29">
        <f>IF(DigitaNICA!I18&lt;&gt;"",DigitaNICA!I18,"")</f>
        <v>15500</v>
      </c>
      <c r="D17" s="42">
        <f>IF(C17="",0,C17*J$16)</f>
        <v>1860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13640</v>
      </c>
      <c r="I17" s="63" t="s">
        <v>38</v>
      </c>
      <c r="J17" s="64">
        <v>0.1</v>
      </c>
      <c r="K17" s="30">
        <f>MROUND(D6+D8+D10+D12+D14+D16+D18,50)</f>
        <v>4250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6000</v>
      </c>
    </row>
    <row r="19" spans="1:11" x14ac:dyDescent="0.35">
      <c r="A19" s="28" t="s">
        <v>97</v>
      </c>
      <c r="B19" s="133" t="str">
        <f>IF(DigitaPRIMERA!C2&lt;&gt;"",DigitaPRIMERA!C2,"")</f>
        <v>00</v>
      </c>
      <c r="C19" s="29">
        <f>IF(DigitaPRIMERA!$C$18&lt;&gt;"",DigitaPRIMERA!$C$18,"")</f>
        <v>25300</v>
      </c>
      <c r="D19" s="42">
        <f>IF(C19="",0,C19*J$18)</f>
        <v>3036</v>
      </c>
      <c r="E19" s="29">
        <f>IF(DigitaPRIMERA!$D$18&lt;&gt;"",DigitaPRIMERA!$D$18,"")</f>
        <v>400</v>
      </c>
      <c r="F19" s="42">
        <f>IF(E19="",0,E19*PREMIOS!F19)</f>
        <v>34000</v>
      </c>
      <c r="G19" s="30">
        <f t="shared" si="6"/>
        <v>-11736</v>
      </c>
      <c r="I19" s="63" t="s">
        <v>104</v>
      </c>
      <c r="J19" s="64">
        <v>0.12</v>
      </c>
      <c r="K19" s="30">
        <f>MROUND(D21+D22+D23,50)</f>
        <v>1600</v>
      </c>
    </row>
    <row r="20" spans="1:11" x14ac:dyDescent="0.35">
      <c r="A20" s="28" t="s">
        <v>98</v>
      </c>
      <c r="B20" s="133">
        <f>IF(DigitaPRIMERA!E2&lt;&gt;"",DigitaPRIMERA!E2,"")</f>
        <v>17</v>
      </c>
      <c r="C20" s="29">
        <f>IF(DigitaPRIMERA!$E$18&lt;&gt;"",DigitaPRIMERA!$E$18,"")</f>
        <v>24900</v>
      </c>
      <c r="D20" s="42">
        <f>IF(C20="",0,C20*J$18)</f>
        <v>2988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21912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60</v>
      </c>
      <c r="C21" s="29">
        <f>IF(DigitaHONDURAS!$C$18&lt;&gt;"",DigitaHONDURAS!$C$18,"")</f>
        <v>8400</v>
      </c>
      <c r="D21" s="42">
        <f>IF(C21="",0,C21*J$19)</f>
        <v>1008</v>
      </c>
      <c r="E21" s="29">
        <f>IF(DigitaHONDURAS!$D$18&lt;&gt;"",DigitaHONDURAS!$D$18,"")</f>
        <v>1000</v>
      </c>
      <c r="F21" s="42">
        <f>IF(E21="",0,E21*PREMIOS!F20)</f>
        <v>85000</v>
      </c>
      <c r="G21" s="30">
        <f t="shared" si="6"/>
        <v>-77608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IF(DigitaHONDURAS!$E$18&lt;&gt;"",DigitaHONDURAS!$E$18,"")</f>
        <v>5000</v>
      </c>
      <c r="D22" s="42">
        <f>IF(C22="",0,C22*J$19)</f>
        <v>600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4400</v>
      </c>
    </row>
    <row r="23" spans="1:11" x14ac:dyDescent="0.35">
      <c r="A23" s="28" t="s">
        <v>101</v>
      </c>
      <c r="B23" s="133">
        <f>IF(DigitaHONDURAS!G2&lt;&gt;"",DigitaHONDURAS!G2,"")</f>
        <v>11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40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347900</v>
      </c>
      <c r="D27" s="68">
        <f t="shared" ref="D27:G27" si="7">SUM(D5:D26)</f>
        <v>40895</v>
      </c>
      <c r="E27" s="68">
        <f t="shared" si="7"/>
        <v>3000</v>
      </c>
      <c r="F27" s="68">
        <f t="shared" si="7"/>
        <v>266500</v>
      </c>
      <c r="G27" s="89">
        <f t="shared" si="7"/>
        <v>40505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85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36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42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85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36</v>
      </c>
      <c r="D2" s="269"/>
      <c r="E2" s="268">
        <f>IF(PREMIOS!$B11="","",PREMIOS!$B11)</f>
        <v>18</v>
      </c>
      <c r="F2" s="269"/>
      <c r="G2" s="268">
        <f>IF(PREMIOS!$B15="","",PREMIOS!$B15)</f>
        <v>96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39900</v>
      </c>
      <c r="D4" s="79">
        <f t="shared" ref="D4:H27" si="0">IF(C4="","",0)</f>
        <v>0</v>
      </c>
      <c r="E4" s="190">
        <v>21950</v>
      </c>
      <c r="F4" s="79">
        <v>300</v>
      </c>
      <c r="G4" s="190">
        <v>90100</v>
      </c>
      <c r="H4" s="79">
        <f t="shared" si="0"/>
        <v>0</v>
      </c>
      <c r="J4" s="42">
        <f t="shared" ref="J4:J8" si="1">+C4+E4+G4</f>
        <v>151950</v>
      </c>
      <c r="K4" s="42">
        <f>IF(D4="",0,IF(F4="",D4,IF(H4="",D4+F4,D4+F4+H4)))</f>
        <v>300</v>
      </c>
    </row>
    <row r="5" spans="1:11" x14ac:dyDescent="0.35">
      <c r="A5" s="47">
        <v>2</v>
      </c>
      <c r="B5" s="179" t="str">
        <f>Vendedor2!$B$2</f>
        <v>PUESTO 2</v>
      </c>
      <c r="C5" s="181">
        <v>58700</v>
      </c>
      <c r="D5" s="30">
        <v>250</v>
      </c>
      <c r="E5" s="181">
        <v>39550</v>
      </c>
      <c r="F5" s="30">
        <v>750</v>
      </c>
      <c r="G5" s="181">
        <v>95850</v>
      </c>
      <c r="H5" s="30">
        <f t="shared" si="0"/>
        <v>0</v>
      </c>
      <c r="J5" s="42">
        <f t="shared" si="1"/>
        <v>194100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94100</v>
      </c>
      <c r="D8" s="30">
        <f t="shared" si="0"/>
        <v>0</v>
      </c>
      <c r="E8" s="181">
        <v>62350</v>
      </c>
      <c r="F8" s="30">
        <f t="shared" si="0"/>
        <v>0</v>
      </c>
      <c r="G8" s="181">
        <v>52750</v>
      </c>
      <c r="H8" s="30">
        <f t="shared" si="0"/>
        <v>0</v>
      </c>
      <c r="J8" s="42">
        <f t="shared" si="1"/>
        <v>209200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47450+102900</f>
        <v>150350</v>
      </c>
      <c r="D10" s="30">
        <v>100</v>
      </c>
      <c r="E10" s="181">
        <v>77900</v>
      </c>
      <c r="F10" s="30">
        <v>1700</v>
      </c>
      <c r="G10" s="181">
        <v>133400</v>
      </c>
      <c r="H10" s="30">
        <v>550</v>
      </c>
      <c r="J10" s="42">
        <f t="shared" si="3"/>
        <v>361650</v>
      </c>
      <c r="K10" s="42">
        <f t="shared" si="2"/>
        <v>2350</v>
      </c>
    </row>
    <row r="11" spans="1:11" x14ac:dyDescent="0.35">
      <c r="A11" s="47">
        <v>8</v>
      </c>
      <c r="B11" s="179" t="str">
        <f>Vendedor8!$B$2</f>
        <v>ISA</v>
      </c>
      <c r="C11" s="181">
        <v>7100</v>
      </c>
      <c r="D11" s="30">
        <f t="shared" si="0"/>
        <v>0</v>
      </c>
      <c r="E11" s="181"/>
      <c r="F11" s="30" t="str">
        <f t="shared" si="0"/>
        <v/>
      </c>
      <c r="G11" s="181">
        <v>12800</v>
      </c>
      <c r="H11" s="30">
        <f t="shared" si="0"/>
        <v>0</v>
      </c>
      <c r="J11" s="42">
        <f t="shared" si="3"/>
        <v>19900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42350</v>
      </c>
      <c r="D12" s="30">
        <v>300</v>
      </c>
      <c r="E12" s="181">
        <v>18300</v>
      </c>
      <c r="F12" s="30">
        <v>300</v>
      </c>
      <c r="G12" s="181">
        <v>24650</v>
      </c>
      <c r="H12" s="30">
        <f t="shared" si="0"/>
        <v>0</v>
      </c>
      <c r="J12" s="42">
        <f t="shared" si="3"/>
        <v>85300</v>
      </c>
      <c r="K12" s="42">
        <f t="shared" si="2"/>
        <v>600</v>
      </c>
    </row>
    <row r="13" spans="1:11" x14ac:dyDescent="0.35">
      <c r="A13" s="47">
        <v>10</v>
      </c>
      <c r="B13" s="179" t="str">
        <f>Vendedor10!$B$2</f>
        <v>MARIALIZ</v>
      </c>
      <c r="C13" s="181">
        <v>24700</v>
      </c>
      <c r="D13" s="30">
        <f t="shared" si="0"/>
        <v>0</v>
      </c>
      <c r="E13" s="181">
        <v>18250</v>
      </c>
      <c r="F13" s="30">
        <v>1100</v>
      </c>
      <c r="G13" s="181">
        <v>43850</v>
      </c>
      <c r="H13" s="30">
        <v>200</v>
      </c>
      <c r="J13" s="42">
        <f t="shared" si="3"/>
        <v>86800</v>
      </c>
      <c r="K13" s="42">
        <f t="shared" si="2"/>
        <v>1300</v>
      </c>
    </row>
    <row r="14" spans="1:11" x14ac:dyDescent="0.35">
      <c r="A14" s="47">
        <v>11</v>
      </c>
      <c r="B14" s="179" t="str">
        <f>Vendedor11!$B$2</f>
        <v>CHARLY</v>
      </c>
      <c r="C14" s="181">
        <v>51100</v>
      </c>
      <c r="D14" s="30">
        <v>1300</v>
      </c>
      <c r="E14" s="181">
        <v>19800</v>
      </c>
      <c r="F14" s="30">
        <f t="shared" si="0"/>
        <v>0</v>
      </c>
      <c r="G14" s="181">
        <v>58700</v>
      </c>
      <c r="H14" s="30">
        <v>200</v>
      </c>
      <c r="J14" s="42">
        <f t="shared" si="3"/>
        <v>129600</v>
      </c>
      <c r="K14" s="42">
        <f t="shared" si="2"/>
        <v>1500</v>
      </c>
    </row>
    <row r="15" spans="1:11" x14ac:dyDescent="0.35">
      <c r="A15" s="47">
        <v>12</v>
      </c>
      <c r="B15" s="179" t="str">
        <f>Vendedor12!$B$2</f>
        <v>LAURY</v>
      </c>
      <c r="C15" s="181">
        <v>2300</v>
      </c>
      <c r="D15" s="30">
        <f t="shared" si="0"/>
        <v>0</v>
      </c>
      <c r="E15" s="181"/>
      <c r="F15" s="30" t="str">
        <f t="shared" si="0"/>
        <v/>
      </c>
      <c r="G15" s="181">
        <v>2400</v>
      </c>
      <c r="H15" s="30">
        <f t="shared" si="0"/>
        <v>0</v>
      </c>
      <c r="J15" s="42">
        <f t="shared" si="3"/>
        <v>4700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38100</v>
      </c>
      <c r="D16" s="30">
        <v>500</v>
      </c>
      <c r="E16" s="181">
        <v>29200</v>
      </c>
      <c r="F16" s="30">
        <v>500</v>
      </c>
      <c r="G16" s="181">
        <f>4400+27300</f>
        <v>31700</v>
      </c>
      <c r="H16" s="30">
        <f t="shared" si="0"/>
        <v>0</v>
      </c>
      <c r="J16" s="42">
        <f t="shared" si="3"/>
        <v>99000</v>
      </c>
      <c r="K16" s="42">
        <f t="shared" si="2"/>
        <v>1000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130150+30650</f>
        <v>160800</v>
      </c>
      <c r="D17" s="30">
        <f>200+500</f>
        <v>700</v>
      </c>
      <c r="E17" s="181">
        <f>119800+28100</f>
        <v>147900</v>
      </c>
      <c r="F17" s="30">
        <f>1000+150</f>
        <v>1150</v>
      </c>
      <c r="G17" s="181">
        <f>194900+36050</f>
        <v>230950</v>
      </c>
      <c r="H17" s="30">
        <f>400+0</f>
        <v>400</v>
      </c>
      <c r="J17" s="42">
        <f t="shared" si="3"/>
        <v>539650</v>
      </c>
      <c r="K17" s="42">
        <f t="shared" si="2"/>
        <v>2250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23250+16700</f>
        <v>39950</v>
      </c>
      <c r="D18" s="30">
        <f>100+0</f>
        <v>100</v>
      </c>
      <c r="E18" s="181">
        <f>18500+6600</f>
        <v>25100</v>
      </c>
      <c r="F18" s="30">
        <f t="shared" si="0"/>
        <v>0</v>
      </c>
      <c r="G18" s="181">
        <f>36100+17000</f>
        <v>53100</v>
      </c>
      <c r="H18" s="30">
        <f>200+0</f>
        <v>200</v>
      </c>
      <c r="J18" s="42">
        <f t="shared" si="3"/>
        <v>118150</v>
      </c>
      <c r="K18" s="42">
        <f t="shared" si="2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709450</v>
      </c>
      <c r="D32" s="44">
        <f t="shared" si="6"/>
        <v>3250</v>
      </c>
      <c r="E32" s="43">
        <f t="shared" si="6"/>
        <v>460300</v>
      </c>
      <c r="F32" s="44">
        <f t="shared" si="6"/>
        <v>5800</v>
      </c>
      <c r="G32" s="43">
        <f t="shared" si="6"/>
        <v>830250</v>
      </c>
      <c r="H32" s="44">
        <f t="shared" si="6"/>
        <v>1550</v>
      </c>
      <c r="J32" s="96">
        <f>SUM(J4:J31)</f>
        <v>2000000</v>
      </c>
      <c r="K32" s="96"/>
    </row>
    <row r="33" spans="2:8" x14ac:dyDescent="0.35">
      <c r="D33" s="100">
        <f>+D32*85</f>
        <v>276250</v>
      </c>
      <c r="F33" s="100">
        <f>+F32*85</f>
        <v>493000</v>
      </c>
      <c r="H33" s="100">
        <f>+H32*85</f>
        <v>131750</v>
      </c>
    </row>
    <row r="34" spans="2:8" x14ac:dyDescent="0.35">
      <c r="B34" s="249" t="s">
        <v>149</v>
      </c>
      <c r="C34" s="43">
        <f t="shared" ref="C34:H34" si="7">+C4+C5+C6+C8+C13</f>
        <v>217400</v>
      </c>
      <c r="D34" s="43" t="e">
        <f t="shared" si="7"/>
        <v>#VALUE!</v>
      </c>
      <c r="E34" s="43">
        <f t="shared" si="7"/>
        <v>142100</v>
      </c>
      <c r="F34" s="43" t="e">
        <f t="shared" si="7"/>
        <v>#VALUE!</v>
      </c>
      <c r="G34" s="43">
        <f t="shared" si="7"/>
        <v>282550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261250</v>
      </c>
      <c r="D35" s="43">
        <f t="shared" ref="D35:H35" si="8">+D11+D14+D15+D17+D18</f>
        <v>2100</v>
      </c>
      <c r="E35" s="43">
        <f t="shared" si="8"/>
        <v>192800</v>
      </c>
      <c r="F35" s="43" t="e">
        <f t="shared" si="8"/>
        <v>#VALUE!</v>
      </c>
      <c r="G35" s="43">
        <f t="shared" si="8"/>
        <v>357950</v>
      </c>
      <c r="H35" s="43">
        <f t="shared" si="8"/>
        <v>800</v>
      </c>
    </row>
    <row r="36" spans="2:8" x14ac:dyDescent="0.35">
      <c r="B36" s="249" t="s">
        <v>151</v>
      </c>
      <c r="C36" s="43">
        <f>+C10+C12+C27</f>
        <v>192700</v>
      </c>
      <c r="D36" s="43" t="e">
        <f t="shared" ref="D36:H36" si="9">+D10+D12+D27</f>
        <v>#VALUE!</v>
      </c>
      <c r="E36" s="43">
        <f t="shared" si="9"/>
        <v>96200</v>
      </c>
      <c r="F36" s="43" t="e">
        <f t="shared" si="9"/>
        <v>#VALUE!</v>
      </c>
      <c r="G36" s="43">
        <f t="shared" si="9"/>
        <v>158050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85</v>
      </c>
      <c r="D2" s="269"/>
      <c r="E2" s="268">
        <f>IF(PREMIOS!$B9="","",PREMIOS!$B9)</f>
        <v>42</v>
      </c>
      <c r="F2" s="269"/>
      <c r="G2" s="268">
        <f>IF(PREMIOS!$B13="","",PREMIOS!$B13)</f>
        <v>45</v>
      </c>
      <c r="H2" s="269"/>
      <c r="I2" s="268" t="str">
        <f>IF(PREMIOS!$B17="","",PREMIOS!$B17)</f>
        <v>04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16950</v>
      </c>
      <c r="D4" s="79">
        <v>100</v>
      </c>
      <c r="E4" s="207">
        <v>14950</v>
      </c>
      <c r="F4" s="79">
        <f t="shared" ref="D4:J27" si="0">IF(E4="","",0)</f>
        <v>0</v>
      </c>
      <c r="G4" s="190">
        <v>1600</v>
      </c>
      <c r="H4" s="79">
        <f t="shared" ref="H4:H27" si="1">IF(G4="","",0)</f>
        <v>0</v>
      </c>
      <c r="I4" s="190">
        <v>5600</v>
      </c>
      <c r="J4" s="79">
        <f t="shared" si="0"/>
        <v>0</v>
      </c>
      <c r="L4" s="42">
        <f t="shared" ref="L4:L8" si="2">+C4+E4+G4+I4</f>
        <v>39100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9" t="str">
        <f>Vendedor2!$B$2</f>
        <v>PUESTO 2</v>
      </c>
      <c r="C5" s="181">
        <v>23350</v>
      </c>
      <c r="D5" s="30">
        <f t="shared" si="0"/>
        <v>0</v>
      </c>
      <c r="E5" s="208">
        <v>5150</v>
      </c>
      <c r="F5" s="30">
        <f t="shared" si="0"/>
        <v>0</v>
      </c>
      <c r="G5" s="181">
        <v>1400</v>
      </c>
      <c r="H5" s="30">
        <f t="shared" si="1"/>
        <v>0</v>
      </c>
      <c r="I5" s="181">
        <v>3000</v>
      </c>
      <c r="J5" s="30">
        <f t="shared" ref="J5:J27" si="3">IF(I5="","",0)</f>
        <v>0</v>
      </c>
      <c r="L5" s="42">
        <f t="shared" si="2"/>
        <v>32900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94250</v>
      </c>
      <c r="D8" s="30">
        <v>250</v>
      </c>
      <c r="E8" s="208">
        <v>68150</v>
      </c>
      <c r="F8" s="30">
        <f t="shared" si="0"/>
        <v>0</v>
      </c>
      <c r="G8" s="181">
        <v>1250</v>
      </c>
      <c r="H8" s="30">
        <f t="shared" si="1"/>
        <v>0</v>
      </c>
      <c r="I8" s="181">
        <v>12400</v>
      </c>
      <c r="J8" s="30">
        <f t="shared" si="0"/>
        <v>0</v>
      </c>
      <c r="L8" s="42">
        <f t="shared" si="2"/>
        <v>176050</v>
      </c>
      <c r="M8" s="42">
        <f t="shared" si="4"/>
        <v>250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48050+96650</f>
        <v>144700</v>
      </c>
      <c r="D10" s="30">
        <f t="shared" si="0"/>
        <v>0</v>
      </c>
      <c r="E10" s="208">
        <f>14100+53250</f>
        <v>67350</v>
      </c>
      <c r="F10" s="30">
        <f t="shared" si="0"/>
        <v>0</v>
      </c>
      <c r="G10" s="181">
        <v>49450</v>
      </c>
      <c r="H10" s="30">
        <v>100</v>
      </c>
      <c r="I10" s="181">
        <v>81150</v>
      </c>
      <c r="J10" s="30">
        <v>5300</v>
      </c>
      <c r="L10" s="42">
        <f t="shared" si="5"/>
        <v>342650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42600</v>
      </c>
      <c r="D12" s="30">
        <v>350</v>
      </c>
      <c r="E12" s="208">
        <v>21050</v>
      </c>
      <c r="F12" s="30">
        <v>250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63650</v>
      </c>
      <c r="M12" s="42">
        <f t="shared" si="4"/>
        <v>600</v>
      </c>
    </row>
    <row r="13" spans="1:13" x14ac:dyDescent="0.35">
      <c r="A13" s="47">
        <v>10</v>
      </c>
      <c r="B13" s="179" t="str">
        <f>Vendedor10!$B$2</f>
        <v>MARIALIZ</v>
      </c>
      <c r="C13" s="181">
        <v>20700</v>
      </c>
      <c r="D13" s="30">
        <f t="shared" si="0"/>
        <v>0</v>
      </c>
      <c r="E13" s="208">
        <v>19050</v>
      </c>
      <c r="F13" s="30">
        <v>200</v>
      </c>
      <c r="G13" s="181">
        <v>2200</v>
      </c>
      <c r="H13" s="30">
        <v>100</v>
      </c>
      <c r="I13" s="181">
        <v>6200</v>
      </c>
      <c r="J13" s="30">
        <f t="shared" si="0"/>
        <v>0</v>
      </c>
      <c r="L13" s="42">
        <f t="shared" si="5"/>
        <v>48150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3450</v>
      </c>
      <c r="D15" s="30">
        <f t="shared" si="0"/>
        <v>0</v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3450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8300</v>
      </c>
      <c r="D16" s="30">
        <f t="shared" si="0"/>
        <v>0</v>
      </c>
      <c r="E16" s="208">
        <v>10100</v>
      </c>
      <c r="F16" s="30">
        <f t="shared" si="0"/>
        <v>0</v>
      </c>
      <c r="G16" s="181">
        <v>4900</v>
      </c>
      <c r="H16" s="30">
        <f t="shared" si="0"/>
        <v>0</v>
      </c>
      <c r="I16" s="181">
        <v>22700</v>
      </c>
      <c r="J16" s="30">
        <f t="shared" si="0"/>
        <v>0</v>
      </c>
      <c r="L16" s="42">
        <f t="shared" si="5"/>
        <v>46000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f>158300+0</f>
        <v>158300</v>
      </c>
      <c r="D17" s="30">
        <v>1150</v>
      </c>
      <c r="E17" s="208">
        <v>114000</v>
      </c>
      <c r="F17" s="30">
        <v>900</v>
      </c>
      <c r="G17" s="181">
        <v>109400</v>
      </c>
      <c r="H17" s="30">
        <v>800</v>
      </c>
      <c r="I17" s="181">
        <v>178250</v>
      </c>
      <c r="J17" s="30">
        <v>1600</v>
      </c>
      <c r="L17" s="42">
        <f t="shared" si="5"/>
        <v>559950</v>
      </c>
      <c r="M17" s="42">
        <f t="shared" si="4"/>
        <v>4450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34550</v>
      </c>
      <c r="D18" s="30">
        <v>200</v>
      </c>
      <c r="E18" s="208">
        <v>46750</v>
      </c>
      <c r="F18" s="30">
        <f t="shared" si="0"/>
        <v>0</v>
      </c>
      <c r="G18" s="181">
        <v>26700</v>
      </c>
      <c r="H18" s="30">
        <v>1000</v>
      </c>
      <c r="I18" s="181">
        <v>15500</v>
      </c>
      <c r="J18" s="30">
        <f t="shared" si="3"/>
        <v>0</v>
      </c>
      <c r="L18" s="42">
        <f t="shared" si="5"/>
        <v>123500</v>
      </c>
      <c r="M18" s="42">
        <f t="shared" si="4"/>
        <v>1200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547150</v>
      </c>
      <c r="D32" s="44">
        <f t="shared" si="7"/>
        <v>2050</v>
      </c>
      <c r="E32" s="43">
        <f t="shared" si="7"/>
        <v>366550</v>
      </c>
      <c r="F32" s="44">
        <f t="shared" si="7"/>
        <v>1350</v>
      </c>
      <c r="G32" s="43">
        <f t="shared" si="7"/>
        <v>196900</v>
      </c>
      <c r="H32" s="44">
        <f t="shared" si="7"/>
        <v>2000</v>
      </c>
      <c r="I32" s="43">
        <f t="shared" si="7"/>
        <v>324800</v>
      </c>
      <c r="J32" s="44">
        <f t="shared" si="7"/>
        <v>6900</v>
      </c>
      <c r="L32" s="96">
        <f>SUM(L9:L31)</f>
        <v>1187350</v>
      </c>
      <c r="M32" s="96">
        <f>SUM(M9:M31)</f>
        <v>6250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36 Roja</v>
      </c>
      <c r="D2" s="269"/>
      <c r="E2" s="268" t="str">
        <f>IF(E33=0,"",CONCATENATE(PREMIOS!$B11," ",PREMIOS!$B12))</f>
        <v>18 Blanca</v>
      </c>
      <c r="F2" s="269"/>
      <c r="G2" s="268" t="str">
        <f>IF(G33=0,"",CONCATENATE(PREMIOS!$B15," ",PREMIOS!$B16))</f>
        <v>96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19500+8200</f>
        <v>27700</v>
      </c>
      <c r="D10" s="30">
        <f t="shared" si="0"/>
        <v>0</v>
      </c>
      <c r="E10" s="181">
        <v>11750</v>
      </c>
      <c r="F10" s="30">
        <f t="shared" si="0"/>
        <v>0</v>
      </c>
      <c r="G10" s="181">
        <v>19350</v>
      </c>
      <c r="H10" s="30">
        <v>300</v>
      </c>
      <c r="J10" s="42">
        <f t="shared" si="3"/>
        <v>58800</v>
      </c>
      <c r="K10" s="42">
        <f t="shared" si="4"/>
        <v>300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2400</v>
      </c>
      <c r="D12" s="30">
        <f t="shared" si="0"/>
        <v>0</v>
      </c>
      <c r="E12" s="181"/>
      <c r="F12" s="30" t="str">
        <f t="shared" si="1"/>
        <v/>
      </c>
      <c r="G12" s="181">
        <v>500</v>
      </c>
      <c r="H12" s="30">
        <f t="shared" si="0"/>
        <v>0</v>
      </c>
      <c r="J12" s="42">
        <f t="shared" si="3"/>
        <v>2900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21200</v>
      </c>
      <c r="D17" s="30">
        <v>300</v>
      </c>
      <c r="E17" s="181">
        <v>24400</v>
      </c>
      <c r="F17" s="30">
        <v>100</v>
      </c>
      <c r="G17" s="181">
        <v>28300</v>
      </c>
      <c r="H17" s="30">
        <f t="shared" si="0"/>
        <v>0</v>
      </c>
      <c r="J17" s="42">
        <f t="shared" si="3"/>
        <v>73900</v>
      </c>
      <c r="K17" s="42">
        <f t="shared" si="4"/>
        <v>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17250</v>
      </c>
      <c r="D18" s="30">
        <v>100</v>
      </c>
      <c r="E18" s="181">
        <v>13100</v>
      </c>
      <c r="F18" s="30">
        <f t="shared" si="0"/>
        <v>0</v>
      </c>
      <c r="G18" s="181">
        <v>12300</v>
      </c>
      <c r="H18" s="30">
        <f t="shared" si="0"/>
        <v>0</v>
      </c>
      <c r="J18" s="42">
        <f t="shared" si="3"/>
        <v>42650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68550</v>
      </c>
      <c r="D33" s="44">
        <f t="shared" si="7"/>
        <v>400</v>
      </c>
      <c r="E33" s="43">
        <f t="shared" si="7"/>
        <v>49250</v>
      </c>
      <c r="F33" s="44">
        <f t="shared" si="7"/>
        <v>100</v>
      </c>
      <c r="G33" s="43">
        <f t="shared" si="7"/>
        <v>60450</v>
      </c>
      <c r="H33" s="44">
        <f t="shared" si="7"/>
        <v>300</v>
      </c>
      <c r="J33" s="45">
        <f>SUM(J4:J32)</f>
        <v>178250</v>
      </c>
      <c r="K33" s="96">
        <f>SUM(K4:K32)</f>
        <v>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00</v>
      </c>
      <c r="D2" s="269"/>
      <c r="E2" s="268">
        <f>IF(PREMIOS!$C19="","",PREMIOS!$C19)</f>
        <v>17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7800</v>
      </c>
      <c r="D4" s="79">
        <f t="shared" ref="D4:F27" si="0">IF(C4="","",0)</f>
        <v>0</v>
      </c>
      <c r="E4" s="190">
        <v>1600</v>
      </c>
      <c r="F4" s="79">
        <f t="shared" si="0"/>
        <v>0</v>
      </c>
      <c r="H4" s="42">
        <f>+C4+E4</f>
        <v>9400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3750</v>
      </c>
      <c r="D5" s="30">
        <f t="shared" si="0"/>
        <v>0</v>
      </c>
      <c r="E5" s="181">
        <v>2200</v>
      </c>
      <c r="F5" s="30">
        <f t="shared" ref="F5:F27" si="1">IF(E5="","",0)</f>
        <v>0</v>
      </c>
      <c r="H5" s="42">
        <f t="shared" ref="H5:H32" si="2">+C5+E5</f>
        <v>5950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26300</v>
      </c>
      <c r="D8" s="30">
        <v>300</v>
      </c>
      <c r="E8" s="195">
        <v>5350</v>
      </c>
      <c r="F8" s="196">
        <f t="shared" si="1"/>
        <v>0</v>
      </c>
      <c r="H8" s="42">
        <f t="shared" si="2"/>
        <v>31650</v>
      </c>
      <c r="I8" s="42">
        <f t="shared" si="3"/>
        <v>300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16500+14800</f>
        <v>31300</v>
      </c>
      <c r="D10" s="30">
        <f>250+0</f>
        <v>250</v>
      </c>
      <c r="E10" s="181">
        <v>3500</v>
      </c>
      <c r="F10" s="196">
        <f t="shared" si="1"/>
        <v>0</v>
      </c>
      <c r="H10" s="42">
        <f t="shared" si="2"/>
        <v>34800</v>
      </c>
      <c r="I10" s="42">
        <f t="shared" si="3"/>
        <v>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77550</v>
      </c>
      <c r="D12" s="30">
        <v>400</v>
      </c>
      <c r="E12" s="195"/>
      <c r="F12" s="30" t="str">
        <f t="shared" si="0"/>
        <v/>
      </c>
      <c r="H12" s="42">
        <f t="shared" si="2"/>
        <v>77550</v>
      </c>
      <c r="I12" s="42">
        <f t="shared" si="3"/>
        <v>400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7400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7400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72100</v>
      </c>
      <c r="D17" s="196">
        <v>1450</v>
      </c>
      <c r="E17" s="181">
        <v>63600</v>
      </c>
      <c r="F17" s="30">
        <v>100</v>
      </c>
      <c r="H17" s="42">
        <f t="shared" si="2"/>
        <v>135700</v>
      </c>
      <c r="I17" s="42">
        <f t="shared" si="3"/>
        <v>1550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25300</v>
      </c>
      <c r="D18" s="196">
        <v>400</v>
      </c>
      <c r="E18" s="181">
        <v>24900</v>
      </c>
      <c r="F18" s="30">
        <f t="shared" si="0"/>
        <v>0</v>
      </c>
      <c r="H18" s="42">
        <f t="shared" si="2"/>
        <v>50200</v>
      </c>
      <c r="I18" s="42">
        <f t="shared" si="3"/>
        <v>400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251500</v>
      </c>
      <c r="D33" s="44">
        <f>SUM(D4:D32)</f>
        <v>2800</v>
      </c>
      <c r="E33" s="43">
        <f>SUM(E4:E32)</f>
        <v>101150</v>
      </c>
      <c r="F33" s="44">
        <f>SUM(F4:F32)</f>
        <v>100</v>
      </c>
      <c r="H33" s="96">
        <f>SUM(H4:H32)</f>
        <v>352650</v>
      </c>
      <c r="I33" s="96">
        <f>SUM(I4:I32)</f>
        <v>2900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60</v>
      </c>
      <c r="D2" s="269"/>
      <c r="E2" s="268">
        <f>IF(PREMIOS!$C20="","",PREMIOS!$C20)</f>
        <v>91</v>
      </c>
      <c r="F2" s="269"/>
      <c r="G2" s="268">
        <f>IF(PREMIOS!$D20="","",PREMIOS!$D20)</f>
        <v>11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5500+5300</f>
        <v>10800</v>
      </c>
      <c r="D10" s="196">
        <f>300+100</f>
        <v>400</v>
      </c>
      <c r="E10" s="181">
        <v>3900</v>
      </c>
      <c r="F10" s="30">
        <f t="shared" si="0"/>
        <v>0</v>
      </c>
      <c r="G10" s="181">
        <v>4800</v>
      </c>
      <c r="H10" s="196">
        <f t="shared" si="0"/>
        <v>0</v>
      </c>
      <c r="J10" s="42">
        <f t="shared" si="3"/>
        <v>19500</v>
      </c>
      <c r="K10" s="42">
        <f t="shared" si="4"/>
        <v>400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79300</v>
      </c>
      <c r="D17" s="30">
        <v>2800</v>
      </c>
      <c r="E17" s="181">
        <v>6700</v>
      </c>
      <c r="F17" s="30">
        <f t="shared" si="0"/>
        <v>0</v>
      </c>
      <c r="G17" s="181">
        <v>41550</v>
      </c>
      <c r="H17" s="30">
        <v>800</v>
      </c>
      <c r="J17" s="42">
        <f t="shared" si="3"/>
        <v>127550</v>
      </c>
      <c r="K17" s="42">
        <f t="shared" si="4"/>
        <v>3600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8400</v>
      </c>
      <c r="D18" s="30">
        <v>1000</v>
      </c>
      <c r="E18" s="181">
        <v>5000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13400</v>
      </c>
      <c r="K18" s="42">
        <f t="shared" si="4"/>
        <v>1000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98500</v>
      </c>
      <c r="D33" s="44">
        <f t="shared" si="6"/>
        <v>4200</v>
      </c>
      <c r="E33" s="43">
        <f t="shared" si="6"/>
        <v>15600</v>
      </c>
      <c r="F33" s="44">
        <f t="shared" si="6"/>
        <v>0</v>
      </c>
      <c r="G33" s="43">
        <f t="shared" si="6"/>
        <v>46350</v>
      </c>
      <c r="H33" s="44">
        <f t="shared" si="6"/>
        <v>800</v>
      </c>
      <c r="J33" s="45">
        <f>SUM(J4:J32)</f>
        <v>160450</v>
      </c>
      <c r="K33" s="96">
        <f>SUM(K4:K32)</f>
        <v>5000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40</v>
      </c>
      <c r="D2" s="269"/>
      <c r="E2" s="268">
        <f>IF(PREMIOS!$C21="","",PREMIOS!$C21)</f>
        <v>71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59500</v>
      </c>
      <c r="D10" s="30">
        <f t="shared" si="0"/>
        <v>0</v>
      </c>
      <c r="E10" s="181">
        <v>69500</v>
      </c>
      <c r="F10" s="30">
        <f t="shared" si="0"/>
        <v>0</v>
      </c>
      <c r="H10" s="42">
        <f t="shared" si="2"/>
        <v>129000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59500</v>
      </c>
      <c r="D33" s="44">
        <f>SUM(D4:D32)</f>
        <v>0</v>
      </c>
      <c r="E33" s="43">
        <f>SUM(E4:E32)</f>
        <v>69500</v>
      </c>
      <c r="F33" s="44">
        <f>SUM(F4:F32)</f>
        <v>0</v>
      </c>
      <c r="H33" s="45">
        <f>SUM(H4:H32)</f>
        <v>129000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2026-01-07T18:02:37Z</dcterms:modified>
  <dc:language>es-CR</dc:language>
</cp:coreProperties>
</file>